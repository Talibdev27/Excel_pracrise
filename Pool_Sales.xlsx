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  <sheet name="Summary" sheetId="2" state="visible" r:id="rId4"/>
    <sheet name="Text to Colum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119" authorId="0">
      <text>
        <r>
          <rPr>
            <sz val="10"/>
            <rFont val="Arial"/>
            <family val="2"/>
          </rPr>
          <t xml:space="preserve">Not visible in the screenshots. Product and seller worked out from the pivot totals; state is a guess.</t>
        </r>
      </text>
    </comment>
    <comment ref="K120" authorId="0">
      <text>
        <r>
          <rPr>
            <sz val="10"/>
            <rFont val="Arial"/>
            <family val="2"/>
          </rPr>
          <t xml:space="preserve">Not visible in the screenshots. Product and seller worked out from the pivot totals; state is a guess.</t>
        </r>
      </text>
    </comment>
    <comment ref="K121" authorId="0">
      <text>
        <r>
          <rPr>
            <sz val="10"/>
            <rFont val="Arial"/>
            <family val="2"/>
          </rPr>
          <t xml:space="preserve">Not visible in the screenshots. Product and seller worked out from the pivot totals; state is a guess.</t>
        </r>
      </text>
    </comment>
  </commentList>
</comments>
</file>

<file path=xl/sharedStrings.xml><?xml version="1.0" encoding="utf-8"?>
<sst xmlns="http://schemas.openxmlformats.org/spreadsheetml/2006/main" count="948" uniqueCount="74">
  <si>
    <t xml:space="preserve">Month</t>
  </si>
  <si>
    <t xml:space="preserve">Transaction Number</t>
  </si>
  <si>
    <t xml:space="preserve">Product Code</t>
  </si>
  <si>
    <t xml:space="preserve">Product Description</t>
  </si>
  <si>
    <t xml:space="preserve">Store Cost</t>
  </si>
  <si>
    <t xml:space="preserve">Sale Price</t>
  </si>
  <si>
    <t xml:space="preserve">Profit</t>
  </si>
  <si>
    <t xml:space="preserve">Commision 10% for items less than $50. 20% for items more than $50</t>
  </si>
  <si>
    <t xml:space="preserve">First Name</t>
  </si>
  <si>
    <t xml:space="preserve">Last Name</t>
  </si>
  <si>
    <t xml:space="preserve">Sale Location</t>
  </si>
  <si>
    <t xml:space="preserve">Jan</t>
  </si>
  <si>
    <t xml:space="preserve">Pool Cover</t>
  </si>
  <si>
    <t xml:space="preserve">Charlie</t>
  </si>
  <si>
    <t xml:space="preserve">Barns</t>
  </si>
  <si>
    <t xml:space="preserve">NM</t>
  </si>
  <si>
    <t xml:space="preserve">Net</t>
  </si>
  <si>
    <t xml:space="preserve">Juan</t>
  </si>
  <si>
    <t xml:space="preserve">Hernandez</t>
  </si>
  <si>
    <t xml:space="preserve">CA</t>
  </si>
  <si>
    <t xml:space="preserve">Practice list:</t>
  </si>
  <si>
    <t xml:space="preserve">8 ft Hose</t>
  </si>
  <si>
    <t xml:space="preserve">Doug</t>
  </si>
  <si>
    <t xml:space="preserve">Smith</t>
  </si>
  <si>
    <t xml:space="preserve">AZ</t>
  </si>
  <si>
    <t xml:space="preserve">text to columns</t>
  </si>
  <si>
    <t xml:space="preserve">Water Pump</t>
  </si>
  <si>
    <t xml:space="preserve">if</t>
  </si>
  <si>
    <t xml:space="preserve">Chlorine Test Kit</t>
  </si>
  <si>
    <t xml:space="preserve">sumif</t>
  </si>
  <si>
    <t xml:space="preserve">sort</t>
  </si>
  <si>
    <t xml:space="preserve">Helen</t>
  </si>
  <si>
    <t xml:space="preserve">Johnson</t>
  </si>
  <si>
    <t xml:space="preserve">filter</t>
  </si>
  <si>
    <t xml:space="preserve">pivot tables</t>
  </si>
  <si>
    <t xml:space="preserve">pie chart</t>
  </si>
  <si>
    <t xml:space="preserve">CO</t>
  </si>
  <si>
    <t xml:space="preserve">Skimmer</t>
  </si>
  <si>
    <t xml:space="preserve">1 Gal Muratic Acid</t>
  </si>
  <si>
    <t xml:space="preserve">Feb</t>
  </si>
  <si>
    <t xml:space="preserve">AutoVac</t>
  </si>
  <si>
    <t xml:space="preserve">NV</t>
  </si>
  <si>
    <t xml:space="preserve">UT</t>
  </si>
  <si>
    <t xml:space="preserve">Algea Killer 8 oz</t>
  </si>
  <si>
    <t xml:space="preserve">Mar</t>
  </si>
  <si>
    <t xml:space="preserve">5 Gal Chlorine</t>
  </si>
  <si>
    <t xml:space="preserve">April</t>
  </si>
  <si>
    <t xml:space="preserve">May</t>
  </si>
  <si>
    <t xml:space="preserve">June</t>
  </si>
  <si>
    <t xml:space="preserve">July</t>
  </si>
  <si>
    <t xml:space="preserve">Aug</t>
  </si>
  <si>
    <t xml:space="preserve">Sept</t>
  </si>
  <si>
    <t xml:space="preserve">Oct</t>
  </si>
  <si>
    <t xml:space="preserve">Nov</t>
  </si>
  <si>
    <t xml:space="preserve">Dec</t>
  </si>
  <si>
    <t xml:space="preserve">Sum of all items</t>
  </si>
  <si>
    <t xml:space="preserve">Sum of items valued at more than $50</t>
  </si>
  <si>
    <t xml:space="preserve">Sum of items valued at $50 or less</t>
  </si>
  <si>
    <t xml:space="preserve">Summary with SUMIF / COUNTIF — same answers as the pivot tables</t>
  </si>
  <si>
    <t xml:space="preserve">Sum of Sale Price</t>
  </si>
  <si>
    <t xml:space="preserve">Sales</t>
  </si>
  <si>
    <t xml:space="preserve">Grand Total</t>
  </si>
  <si>
    <t xml:space="preserve">Seller (commission)</t>
  </si>
  <si>
    <t xml:space="preserve">Sum of Commission</t>
  </si>
  <si>
    <t xml:space="preserve">Practice: select A3:A10, then Data → Text to Columns → Delimited → Space. Answers in E:F use formulas.</t>
  </si>
  <si>
    <t xml:space="preserve">Full Name</t>
  </si>
  <si>
    <t xml:space="preserve">First (you)</t>
  </si>
  <si>
    <t xml:space="preserve">Last (you)</t>
  </si>
  <si>
    <t xml:space="preserve">First (answer)</t>
  </si>
  <si>
    <t xml:space="preserve">Last (answer)</t>
  </si>
  <si>
    <t xml:space="preserve">Charlie Barns</t>
  </si>
  <si>
    <t xml:space="preserve">Juan Hernandez</t>
  </si>
  <si>
    <t xml:space="preserve">Doug Smith</t>
  </si>
  <si>
    <t xml:space="preserve">Helen Johnson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</si>
</sst>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_(\$* #,##0.00_);_(\$* \(#,##0.00\);_(\$* \-??_);_(@_)"/>
    <numFmt numFmtId="167" formatCode="\$#,##0.00"/>
    <numFmt numFmtId="168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CCFFFF"/>
      <rgbColor rgb="FF660066"/>
      <rgbColor rgb="FFE07B39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6DB4"/>
      <rgbColor rgb="FF33CCCC"/>
      <rgbColor rgb="FF99CC00"/>
      <rgbColor rgb="FFFFCC00"/>
      <rgbColor rgb="FFFF9900"/>
      <rgbColor rgb="FFFF6600"/>
      <rgbColor rgb="FF8E5BB5"/>
      <rgbColor rgb="FF4F81BD"/>
      <rgbColor rgb="FF003366"/>
      <rgbColor rgb="FF3A9E6F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Salesperson (Sum of Sale Price)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Summary!B3</c:f>
              <c:strCache>
                <c:ptCount val="1"/>
                <c:pt idx="0">
                  <c:v>Sum of Sale Price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6db4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e07b39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3a9e6f"/>
              </a:solidFill>
              <a:ln w="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8e5bb5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Summary!$A$4:$A$7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Summary!$B$4:$B$7</c:f>
              <c:numCache>
                <c:formatCode>\$#,##0.00</c:formatCode>
                <c:ptCount val="4"/>
                <c:pt idx="0">
                  <c:v>6003.5</c:v>
                </c:pt>
                <c:pt idx="1">
                  <c:v>2410.7</c:v>
                </c:pt>
                <c:pt idx="2">
                  <c:v>3035.3</c:v>
                </c:pt>
                <c:pt idx="3">
                  <c:v>5661.1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Summary!B32</c:f>
              <c:strCache>
                <c:ptCount val="1"/>
                <c:pt idx="0">
                  <c:v>Sum of Sale Price</c:v>
                </c:pt>
              </c:strCache>
            </c:strRef>
          </c:tx>
          <c:spPr>
            <a:solidFill>
              <a:srgbClr val="2e6db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Summary!$A$33:$A$44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Summary!$B$33:$B$44</c:f>
              <c:numCache>
                <c:formatCode>\$#,##0.00</c:formatCode>
                <c:ptCount val="12"/>
                <c:pt idx="0">
                  <c:v>1418.7</c:v>
                </c:pt>
                <c:pt idx="1">
                  <c:v>971.2</c:v>
                </c:pt>
                <c:pt idx="2">
                  <c:v>1875.4</c:v>
                </c:pt>
                <c:pt idx="3">
                  <c:v>510.7</c:v>
                </c:pt>
                <c:pt idx="4">
                  <c:v>347.4</c:v>
                </c:pt>
                <c:pt idx="5">
                  <c:v>409.5</c:v>
                </c:pt>
                <c:pt idx="6">
                  <c:v>3992.3</c:v>
                </c:pt>
                <c:pt idx="7">
                  <c:v>2513.6</c:v>
                </c:pt>
                <c:pt idx="8">
                  <c:v>1542.8</c:v>
                </c:pt>
                <c:pt idx="9">
                  <c:v>1153.4</c:v>
                </c:pt>
                <c:pt idx="10">
                  <c:v>1601.2</c:v>
                </c:pt>
                <c:pt idx="11">
                  <c:v>774.4</c:v>
                </c:pt>
              </c:numCache>
            </c:numRef>
          </c:val>
        </c:ser>
        <c:gapWidth val="60"/>
        <c:overlap val="0"/>
        <c:axId val="27282871"/>
        <c:axId val="27218811"/>
      </c:barChart>
      <c:catAx>
        <c:axId val="27282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218811"/>
        <c:crosses val="autoZero"/>
        <c:auto val="1"/>
        <c:lblAlgn val="ctr"/>
        <c:lblOffset val="100"/>
        <c:noMultiLvlLbl val="0"/>
      </c:catAx>
      <c:valAx>
        <c:axId val="27218811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2828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State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Summary!B10</c:f>
              <c:strCache>
                <c:ptCount val="1"/>
                <c:pt idx="0">
                  <c:v>Sum of Sale Price</c:v>
                </c:pt>
              </c:strCache>
            </c:strRef>
          </c:tx>
          <c:spPr>
            <a:solidFill>
              <a:srgbClr val="2e6db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Summary!$A$11:$A$16</c:f>
              <c:strCache>
                <c:ptCount val="6"/>
                <c:pt idx="0">
                  <c:v>AZ</c:v>
                </c:pt>
                <c:pt idx="1">
                  <c:v>CA</c:v>
                </c:pt>
                <c:pt idx="2">
                  <c:v>CO</c:v>
                </c:pt>
                <c:pt idx="3">
                  <c:v>NM</c:v>
                </c:pt>
                <c:pt idx="4">
                  <c:v>NV</c:v>
                </c:pt>
                <c:pt idx="5">
                  <c:v>UT</c:v>
                </c:pt>
              </c:strCache>
            </c:strRef>
          </c:cat>
          <c:val>
            <c:numRef>
              <c:f>Summary!$B$11:$B$16</c:f>
              <c:numCache>
                <c:formatCode>\$#,##0.00</c:formatCode>
                <c:ptCount val="6"/>
                <c:pt idx="0">
                  <c:v>5908</c:v>
                </c:pt>
                <c:pt idx="1">
                  <c:v>3413.6</c:v>
                </c:pt>
                <c:pt idx="2">
                  <c:v>66</c:v>
                </c:pt>
                <c:pt idx="3">
                  <c:v>1776.9</c:v>
                </c:pt>
                <c:pt idx="4">
                  <c:v>4722.5</c:v>
                </c:pt>
                <c:pt idx="5">
                  <c:v>1223.6</c:v>
                </c:pt>
              </c:numCache>
            </c:numRef>
          </c:val>
        </c:ser>
        <c:gapWidth val="60"/>
        <c:overlap val="0"/>
        <c:axId val="68747054"/>
        <c:axId val="63712858"/>
      </c:barChart>
      <c:catAx>
        <c:axId val="687470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712858"/>
        <c:crosses val="autoZero"/>
        <c:auto val="1"/>
        <c:lblAlgn val="ctr"/>
        <c:lblOffset val="100"/>
        <c:noMultiLvlLbl val="0"/>
      </c:catAx>
      <c:valAx>
        <c:axId val="63712858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7470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11</xdr:col>
      <xdr:colOff>399240</xdr:colOff>
      <xdr:row>17</xdr:row>
      <xdr:rowOff>21960</xdr:rowOff>
    </xdr:to>
    <xdr:graphicFrame>
      <xdr:nvGraphicFramePr>
        <xdr:cNvPr id="0" name="Chart 1"/>
        <xdr:cNvGraphicFramePr/>
      </xdr:nvGraphicFramePr>
      <xdr:xfrm>
        <a:off x="3994920" y="38088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19</xdr:row>
      <xdr:rowOff>0</xdr:rowOff>
    </xdr:from>
    <xdr:to>
      <xdr:col>11</xdr:col>
      <xdr:colOff>399240</xdr:colOff>
      <xdr:row>32</xdr:row>
      <xdr:rowOff>43200</xdr:rowOff>
    </xdr:to>
    <xdr:graphicFrame>
      <xdr:nvGraphicFramePr>
        <xdr:cNvPr id="1" name="Chart 2"/>
        <xdr:cNvGraphicFramePr/>
      </xdr:nvGraphicFramePr>
      <xdr:xfrm>
        <a:off x="3994920" y="361944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34</xdr:row>
      <xdr:rowOff>0</xdr:rowOff>
    </xdr:from>
    <xdr:to>
      <xdr:col>11</xdr:col>
      <xdr:colOff>399240</xdr:colOff>
      <xdr:row>47</xdr:row>
      <xdr:rowOff>43200</xdr:rowOff>
    </xdr:to>
    <xdr:graphicFrame>
      <xdr:nvGraphicFramePr>
        <xdr:cNvPr id="2" name="Chart 3"/>
        <xdr:cNvGraphicFramePr/>
      </xdr:nvGraphicFramePr>
      <xdr:xfrm>
        <a:off x="3994920" y="647712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" displayName="Sales" ref="A1:K172" headerRowCount="1" totalsRowCount="0" totalsRowShown="0">
  <autoFilter ref="A1:K172"/>
  <tableColumns count="11">
    <tableColumn id="1" name="Month"/>
    <tableColumn id="2" name="Transaction Number"/>
    <tableColumn id="3" name="Product Code"/>
    <tableColumn id="4" name="Product Description"/>
    <tableColumn id="5" name="Store Cost"/>
    <tableColumn id="6" name="Sale Price"/>
    <tableColumn id="7" name="Profit"/>
    <tableColumn id="8" name="Commision 10% for items less than $50. 20% for items more than $50"/>
    <tableColumn id="9" name="First Name"/>
    <tableColumn id="10" name="Last Name"/>
    <tableColumn id="11" name="Sale Loca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20"/>
    <col collapsed="false" customWidth="true" hidden="false" outlineLevel="0" max="7" min="5" style="0" width="11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3"/>
    <col collapsed="false" customWidth="true" hidden="false" outlineLevel="0" max="13" min="13" style="0" width="26"/>
  </cols>
  <sheetData>
    <row r="1" customFormat="false" ht="7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3" t="n">
        <v>1001</v>
      </c>
      <c r="C2" s="2" t="n">
        <v>9822</v>
      </c>
      <c r="D2" s="2" t="s">
        <v>12</v>
      </c>
      <c r="E2" s="4" t="n">
        <v>58.3</v>
      </c>
      <c r="F2" s="4" t="n">
        <v>98.4</v>
      </c>
      <c r="G2" s="4" t="n">
        <f aca="false">F2-E2</f>
        <v>40.1</v>
      </c>
      <c r="H2" s="4" t="n">
        <f aca="false">IF(F2&gt;50,0.2,0.1)*G2</f>
        <v>8.02</v>
      </c>
      <c r="I2" s="2" t="s">
        <v>13</v>
      </c>
      <c r="J2" s="2" t="s">
        <v>14</v>
      </c>
      <c r="K2" s="2" t="s">
        <v>15</v>
      </c>
    </row>
    <row r="3" customFormat="false" ht="15" hidden="false" customHeight="false" outlineLevel="0" collapsed="false">
      <c r="A3" s="2" t="s">
        <v>11</v>
      </c>
      <c r="B3" s="3" t="n">
        <v>1002</v>
      </c>
      <c r="C3" s="2" t="n">
        <v>2877</v>
      </c>
      <c r="D3" s="2" t="s">
        <v>16</v>
      </c>
      <c r="E3" s="4" t="n">
        <v>11.4</v>
      </c>
      <c r="F3" s="4" t="n">
        <v>16.3</v>
      </c>
      <c r="G3" s="4" t="n">
        <f aca="false">F3-E3</f>
        <v>4.9</v>
      </c>
      <c r="H3" s="4" t="n">
        <f aca="false">IF(F3&gt;50,0.2,0.1)*G3</f>
        <v>0.49</v>
      </c>
      <c r="I3" s="2" t="s">
        <v>17</v>
      </c>
      <c r="J3" s="2" t="s">
        <v>18</v>
      </c>
      <c r="K3" s="2" t="s">
        <v>19</v>
      </c>
      <c r="M3" s="5" t="s">
        <v>20</v>
      </c>
    </row>
    <row r="4" customFormat="false" ht="15" hidden="false" customHeight="false" outlineLevel="0" collapsed="false">
      <c r="A4" s="2" t="s">
        <v>11</v>
      </c>
      <c r="B4" s="3" t="n">
        <v>1003</v>
      </c>
      <c r="C4" s="2" t="n">
        <v>2499</v>
      </c>
      <c r="D4" s="2" t="s">
        <v>21</v>
      </c>
      <c r="E4" s="4" t="n">
        <v>6.2</v>
      </c>
      <c r="F4" s="4" t="n">
        <v>9.2</v>
      </c>
      <c r="G4" s="4" t="n">
        <f aca="false">F4-E4</f>
        <v>3</v>
      </c>
      <c r="H4" s="4" t="n">
        <f aca="false">IF(F4&gt;50,0.2,0.1)*G4</f>
        <v>0.3</v>
      </c>
      <c r="I4" s="2" t="s">
        <v>22</v>
      </c>
      <c r="J4" s="2" t="s">
        <v>23</v>
      </c>
      <c r="K4" s="2" t="s">
        <v>24</v>
      </c>
      <c r="M4" s="2" t="s">
        <v>25</v>
      </c>
    </row>
    <row r="5" customFormat="false" ht="15" hidden="false" customHeight="false" outlineLevel="0" collapsed="false">
      <c r="A5" s="2" t="s">
        <v>11</v>
      </c>
      <c r="B5" s="3" t="n">
        <v>1004</v>
      </c>
      <c r="C5" s="2" t="n">
        <v>8722</v>
      </c>
      <c r="D5" s="2" t="s">
        <v>26</v>
      </c>
      <c r="E5" s="4" t="n">
        <v>344</v>
      </c>
      <c r="F5" s="4" t="n">
        <v>502</v>
      </c>
      <c r="G5" s="4" t="n">
        <f aca="false">F5-E5</f>
        <v>158</v>
      </c>
      <c r="H5" s="4" t="n">
        <f aca="false">IF(F5&gt;50,0.2,0.1)*G5</f>
        <v>31.6</v>
      </c>
      <c r="I5" s="2" t="s">
        <v>13</v>
      </c>
      <c r="J5" s="2" t="s">
        <v>14</v>
      </c>
      <c r="K5" s="2" t="s">
        <v>24</v>
      </c>
      <c r="M5" s="2" t="s">
        <v>27</v>
      </c>
    </row>
    <row r="6" customFormat="false" ht="15" hidden="false" customHeight="false" outlineLevel="0" collapsed="false">
      <c r="A6" s="2" t="s">
        <v>11</v>
      </c>
      <c r="B6" s="3" t="n">
        <v>1005</v>
      </c>
      <c r="C6" s="2" t="n">
        <v>1109</v>
      </c>
      <c r="D6" s="2" t="s">
        <v>28</v>
      </c>
      <c r="E6" s="4" t="n">
        <v>3</v>
      </c>
      <c r="F6" s="4" t="n">
        <v>8</v>
      </c>
      <c r="G6" s="4" t="n">
        <f aca="false">F6-E6</f>
        <v>5</v>
      </c>
      <c r="H6" s="4" t="n">
        <f aca="false">IF(F6&gt;50,0.2,0.1)*G6</f>
        <v>0.5</v>
      </c>
      <c r="I6" s="2" t="s">
        <v>22</v>
      </c>
      <c r="J6" s="2" t="s">
        <v>23</v>
      </c>
      <c r="K6" s="2" t="s">
        <v>24</v>
      </c>
      <c r="M6" s="2" t="s">
        <v>29</v>
      </c>
    </row>
    <row r="7" customFormat="false" ht="15" hidden="false" customHeight="false" outlineLevel="0" collapsed="false">
      <c r="A7" s="2" t="s">
        <v>11</v>
      </c>
      <c r="B7" s="3" t="n">
        <v>1006</v>
      </c>
      <c r="C7" s="2" t="n">
        <v>9822</v>
      </c>
      <c r="D7" s="2" t="s">
        <v>12</v>
      </c>
      <c r="E7" s="4" t="n">
        <v>58.3</v>
      </c>
      <c r="F7" s="4" t="n">
        <v>98.4</v>
      </c>
      <c r="G7" s="4" t="n">
        <f aca="false">F7-E7</f>
        <v>40.1</v>
      </c>
      <c r="H7" s="4" t="n">
        <f aca="false">IF(F7&gt;50,0.2,0.1)*G7</f>
        <v>8.02</v>
      </c>
      <c r="I7" s="2" t="s">
        <v>22</v>
      </c>
      <c r="J7" s="2" t="s">
        <v>23</v>
      </c>
      <c r="K7" s="2" t="s">
        <v>24</v>
      </c>
      <c r="M7" s="2" t="s">
        <v>30</v>
      </c>
    </row>
    <row r="8" customFormat="false" ht="15" hidden="false" customHeight="false" outlineLevel="0" collapsed="false">
      <c r="A8" s="2" t="s">
        <v>11</v>
      </c>
      <c r="B8" s="3" t="n">
        <v>1007</v>
      </c>
      <c r="C8" s="2" t="n">
        <v>1109</v>
      </c>
      <c r="D8" s="2" t="s">
        <v>28</v>
      </c>
      <c r="E8" s="4" t="n">
        <v>3</v>
      </c>
      <c r="F8" s="4" t="n">
        <v>8</v>
      </c>
      <c r="G8" s="4" t="n">
        <f aca="false">F8-E8</f>
        <v>5</v>
      </c>
      <c r="H8" s="4" t="n">
        <f aca="false">IF(F8&gt;50,0.2,0.1)*G8</f>
        <v>0.5</v>
      </c>
      <c r="I8" s="2" t="s">
        <v>31</v>
      </c>
      <c r="J8" s="2" t="s">
        <v>32</v>
      </c>
      <c r="K8" s="2" t="s">
        <v>15</v>
      </c>
      <c r="M8" s="2" t="s">
        <v>33</v>
      </c>
    </row>
    <row r="9" customFormat="false" ht="15" hidden="false" customHeight="false" outlineLevel="0" collapsed="false">
      <c r="A9" s="2" t="s">
        <v>11</v>
      </c>
      <c r="B9" s="3" t="n">
        <v>1008</v>
      </c>
      <c r="C9" s="2" t="n">
        <v>2877</v>
      </c>
      <c r="D9" s="2" t="s">
        <v>16</v>
      </c>
      <c r="E9" s="4" t="n">
        <v>11.4</v>
      </c>
      <c r="F9" s="4" t="n">
        <v>16.3</v>
      </c>
      <c r="G9" s="4" t="n">
        <f aca="false">F9-E9</f>
        <v>4.9</v>
      </c>
      <c r="H9" s="4" t="n">
        <f aca="false">IF(F9&gt;50,0.2,0.1)*G9</f>
        <v>0.49</v>
      </c>
      <c r="I9" s="2" t="s">
        <v>22</v>
      </c>
      <c r="J9" s="2" t="s">
        <v>23</v>
      </c>
      <c r="K9" s="2" t="s">
        <v>15</v>
      </c>
      <c r="M9" s="2" t="s">
        <v>34</v>
      </c>
    </row>
    <row r="10" customFormat="false" ht="15" hidden="false" customHeight="false" outlineLevel="0" collapsed="false">
      <c r="A10" s="2" t="s">
        <v>11</v>
      </c>
      <c r="B10" s="3" t="n">
        <v>1009</v>
      </c>
      <c r="C10" s="2" t="n">
        <v>1109</v>
      </c>
      <c r="D10" s="2" t="s">
        <v>28</v>
      </c>
      <c r="E10" s="4" t="n">
        <v>3</v>
      </c>
      <c r="F10" s="4" t="n">
        <v>8</v>
      </c>
      <c r="G10" s="4" t="n">
        <f aca="false">F10-E10</f>
        <v>5</v>
      </c>
      <c r="H10" s="4" t="n">
        <f aca="false">IF(F10&gt;50,0.2,0.1)*G10</f>
        <v>0.5</v>
      </c>
      <c r="I10" s="2" t="s">
        <v>22</v>
      </c>
      <c r="J10" s="2" t="s">
        <v>23</v>
      </c>
      <c r="K10" s="2" t="s">
        <v>24</v>
      </c>
      <c r="M10" s="2" t="s">
        <v>35</v>
      </c>
    </row>
    <row r="11" customFormat="false" ht="15" hidden="false" customHeight="false" outlineLevel="0" collapsed="false">
      <c r="A11" s="2" t="s">
        <v>11</v>
      </c>
      <c r="B11" s="3" t="n">
        <v>1010</v>
      </c>
      <c r="C11" s="2" t="n">
        <v>2877</v>
      </c>
      <c r="D11" s="2" t="s">
        <v>16</v>
      </c>
      <c r="E11" s="4" t="n">
        <v>11.4</v>
      </c>
      <c r="F11" s="4" t="n">
        <v>16.3</v>
      </c>
      <c r="G11" s="4" t="n">
        <f aca="false">F11-E11</f>
        <v>4.9</v>
      </c>
      <c r="H11" s="4" t="n">
        <f aca="false">IF(F11&gt;50,0.2,0.1)*G11</f>
        <v>0.49</v>
      </c>
      <c r="I11" s="2" t="s">
        <v>17</v>
      </c>
      <c r="J11" s="2" t="s">
        <v>18</v>
      </c>
      <c r="K11" s="2" t="s">
        <v>36</v>
      </c>
    </row>
    <row r="12" customFormat="false" ht="15" hidden="false" customHeight="false" outlineLevel="0" collapsed="false">
      <c r="A12" s="2" t="s">
        <v>11</v>
      </c>
      <c r="B12" s="3" t="n">
        <v>1011</v>
      </c>
      <c r="C12" s="2" t="n">
        <v>2877</v>
      </c>
      <c r="D12" s="2" t="s">
        <v>16</v>
      </c>
      <c r="E12" s="4" t="n">
        <v>11.4</v>
      </c>
      <c r="F12" s="4" t="n">
        <v>16.3</v>
      </c>
      <c r="G12" s="4" t="n">
        <f aca="false">F12-E12</f>
        <v>4.9</v>
      </c>
      <c r="H12" s="4" t="n">
        <f aca="false">IF(F12&gt;50,0.2,0.1)*G12</f>
        <v>0.49</v>
      </c>
      <c r="I12" s="2" t="s">
        <v>17</v>
      </c>
      <c r="J12" s="2" t="s">
        <v>18</v>
      </c>
      <c r="K12" s="2" t="s">
        <v>24</v>
      </c>
    </row>
    <row r="13" customFormat="false" ht="15" hidden="false" customHeight="false" outlineLevel="0" collapsed="false">
      <c r="A13" s="2" t="s">
        <v>11</v>
      </c>
      <c r="B13" s="3" t="n">
        <v>1012</v>
      </c>
      <c r="C13" s="2" t="n">
        <v>4421</v>
      </c>
      <c r="D13" s="2" t="s">
        <v>37</v>
      </c>
      <c r="E13" s="4" t="n">
        <v>45</v>
      </c>
      <c r="F13" s="4" t="n">
        <v>87</v>
      </c>
      <c r="G13" s="4" t="n">
        <f aca="false">F13-E13</f>
        <v>42</v>
      </c>
      <c r="H13" s="4" t="n">
        <f aca="false">IF(F13&gt;50,0.2,0.1)*G13</f>
        <v>8.4</v>
      </c>
      <c r="I13" s="2" t="s">
        <v>22</v>
      </c>
      <c r="J13" s="2" t="s">
        <v>23</v>
      </c>
      <c r="K13" s="2" t="s">
        <v>15</v>
      </c>
    </row>
    <row r="14" customFormat="false" ht="15" hidden="false" customHeight="false" outlineLevel="0" collapsed="false">
      <c r="A14" s="2" t="s">
        <v>11</v>
      </c>
      <c r="B14" s="3" t="n">
        <v>1013</v>
      </c>
      <c r="C14" s="2" t="n">
        <v>9212</v>
      </c>
      <c r="D14" s="2" t="s">
        <v>38</v>
      </c>
      <c r="E14" s="4" t="n">
        <v>4</v>
      </c>
      <c r="F14" s="4" t="n">
        <v>7</v>
      </c>
      <c r="G14" s="4" t="n">
        <f aca="false">F14-E14</f>
        <v>3</v>
      </c>
      <c r="H14" s="4" t="n">
        <f aca="false">IF(F14&gt;50,0.2,0.1)*G14</f>
        <v>0.3</v>
      </c>
      <c r="I14" s="2" t="s">
        <v>31</v>
      </c>
      <c r="J14" s="2" t="s">
        <v>32</v>
      </c>
      <c r="K14" s="2" t="s">
        <v>36</v>
      </c>
    </row>
    <row r="15" customFormat="false" ht="15" hidden="false" customHeight="false" outlineLevel="0" collapsed="false">
      <c r="A15" s="2" t="s">
        <v>11</v>
      </c>
      <c r="B15" s="3" t="n">
        <v>1014</v>
      </c>
      <c r="C15" s="2" t="n">
        <v>8722</v>
      </c>
      <c r="D15" s="2" t="s">
        <v>26</v>
      </c>
      <c r="E15" s="4" t="n">
        <v>344</v>
      </c>
      <c r="F15" s="4" t="n">
        <v>502</v>
      </c>
      <c r="G15" s="4" t="n">
        <f aca="false">F15-E15</f>
        <v>158</v>
      </c>
      <c r="H15" s="4" t="n">
        <f aca="false">IF(F15&gt;50,0.2,0.1)*G15</f>
        <v>31.6</v>
      </c>
      <c r="I15" s="2" t="s">
        <v>13</v>
      </c>
      <c r="J15" s="2" t="s">
        <v>14</v>
      </c>
      <c r="K15" s="2" t="s">
        <v>19</v>
      </c>
    </row>
    <row r="16" customFormat="false" ht="15" hidden="false" customHeight="false" outlineLevel="0" collapsed="false">
      <c r="A16" s="2" t="s">
        <v>11</v>
      </c>
      <c r="B16" s="3" t="n">
        <v>1015</v>
      </c>
      <c r="C16" s="2" t="n">
        <v>2877</v>
      </c>
      <c r="D16" s="2" t="s">
        <v>16</v>
      </c>
      <c r="E16" s="4" t="n">
        <v>11.4</v>
      </c>
      <c r="F16" s="4" t="n">
        <v>16.3</v>
      </c>
      <c r="G16" s="4" t="n">
        <f aca="false">F16-E16</f>
        <v>4.9</v>
      </c>
      <c r="H16" s="4" t="n">
        <f aca="false">IF(F16&gt;50,0.2,0.1)*G16</f>
        <v>0.49</v>
      </c>
      <c r="I16" s="2" t="s">
        <v>31</v>
      </c>
      <c r="J16" s="2" t="s">
        <v>32</v>
      </c>
      <c r="K16" s="2" t="s">
        <v>24</v>
      </c>
    </row>
    <row r="17" customFormat="false" ht="15" hidden="false" customHeight="false" outlineLevel="0" collapsed="false">
      <c r="A17" s="2" t="s">
        <v>11</v>
      </c>
      <c r="B17" s="3" t="n">
        <v>1016</v>
      </c>
      <c r="C17" s="2" t="n">
        <v>2499</v>
      </c>
      <c r="D17" s="2" t="s">
        <v>21</v>
      </c>
      <c r="E17" s="4" t="n">
        <v>6.2</v>
      </c>
      <c r="F17" s="4" t="n">
        <v>9.2</v>
      </c>
      <c r="G17" s="4" t="n">
        <f aca="false">F17-E17</f>
        <v>3</v>
      </c>
      <c r="H17" s="4" t="n">
        <f aca="false">IF(F17&gt;50,0.2,0.1)*G17</f>
        <v>0.3</v>
      </c>
      <c r="I17" s="2" t="s">
        <v>22</v>
      </c>
      <c r="J17" s="2" t="s">
        <v>23</v>
      </c>
      <c r="K17" s="2" t="s">
        <v>19</v>
      </c>
    </row>
    <row r="18" customFormat="false" ht="15" hidden="false" customHeight="false" outlineLevel="0" collapsed="false">
      <c r="A18" s="2" t="s">
        <v>39</v>
      </c>
      <c r="B18" s="3" t="n">
        <v>1017</v>
      </c>
      <c r="C18" s="2" t="n">
        <v>2242</v>
      </c>
      <c r="D18" s="2" t="s">
        <v>40</v>
      </c>
      <c r="E18" s="4" t="n">
        <v>60</v>
      </c>
      <c r="F18" s="4" t="n">
        <v>124</v>
      </c>
      <c r="G18" s="4" t="n">
        <f aca="false">F18-E18</f>
        <v>64</v>
      </c>
      <c r="H18" s="4" t="n">
        <f aca="false">IF(F18&gt;50,0.2,0.1)*G18</f>
        <v>12.8</v>
      </c>
      <c r="I18" s="2" t="s">
        <v>17</v>
      </c>
      <c r="J18" s="2" t="s">
        <v>18</v>
      </c>
      <c r="K18" s="2" t="s">
        <v>15</v>
      </c>
    </row>
    <row r="19" customFormat="false" ht="15" hidden="false" customHeight="false" outlineLevel="0" collapsed="false">
      <c r="A19" s="2" t="s">
        <v>39</v>
      </c>
      <c r="B19" s="3" t="n">
        <v>1018</v>
      </c>
      <c r="C19" s="2" t="n">
        <v>1109</v>
      </c>
      <c r="D19" s="2" t="s">
        <v>28</v>
      </c>
      <c r="E19" s="4" t="n">
        <v>3</v>
      </c>
      <c r="F19" s="4" t="n">
        <v>8</v>
      </c>
      <c r="G19" s="4" t="n">
        <f aca="false">F19-E19</f>
        <v>5</v>
      </c>
      <c r="H19" s="4" t="n">
        <f aca="false">IF(F19&gt;50,0.2,0.1)*G19</f>
        <v>0.5</v>
      </c>
      <c r="I19" s="2" t="s">
        <v>22</v>
      </c>
      <c r="J19" s="2" t="s">
        <v>23</v>
      </c>
      <c r="K19" s="2" t="s">
        <v>19</v>
      </c>
    </row>
    <row r="20" customFormat="false" ht="15" hidden="false" customHeight="false" outlineLevel="0" collapsed="false">
      <c r="A20" s="2" t="s">
        <v>39</v>
      </c>
      <c r="B20" s="3" t="n">
        <v>1019</v>
      </c>
      <c r="C20" s="2" t="n">
        <v>2499</v>
      </c>
      <c r="D20" s="2" t="s">
        <v>21</v>
      </c>
      <c r="E20" s="4" t="n">
        <v>6.2</v>
      </c>
      <c r="F20" s="4" t="n">
        <v>9.2</v>
      </c>
      <c r="G20" s="4" t="n">
        <f aca="false">F20-E20</f>
        <v>3</v>
      </c>
      <c r="H20" s="4" t="n">
        <f aca="false">IF(F20&gt;50,0.2,0.1)*G20</f>
        <v>0.3</v>
      </c>
      <c r="I20" s="2" t="s">
        <v>22</v>
      </c>
      <c r="J20" s="2" t="s">
        <v>23</v>
      </c>
      <c r="K20" s="2" t="s">
        <v>36</v>
      </c>
    </row>
    <row r="21" customFormat="false" ht="15" hidden="false" customHeight="false" outlineLevel="0" collapsed="false">
      <c r="A21" s="2" t="s">
        <v>39</v>
      </c>
      <c r="B21" s="3" t="n">
        <v>1020</v>
      </c>
      <c r="C21" s="2" t="n">
        <v>2499</v>
      </c>
      <c r="D21" s="2" t="s">
        <v>21</v>
      </c>
      <c r="E21" s="4" t="n">
        <v>6.2</v>
      </c>
      <c r="F21" s="4" t="n">
        <v>9.2</v>
      </c>
      <c r="G21" s="4" t="n">
        <f aca="false">F21-E21</f>
        <v>3</v>
      </c>
      <c r="H21" s="4" t="n">
        <f aca="false">IF(F21&gt;50,0.2,0.1)*G21</f>
        <v>0.3</v>
      </c>
      <c r="I21" s="2" t="s">
        <v>22</v>
      </c>
      <c r="J21" s="2" t="s">
        <v>23</v>
      </c>
      <c r="K21" s="2" t="s">
        <v>41</v>
      </c>
    </row>
    <row r="22" customFormat="false" ht="15" hidden="false" customHeight="false" outlineLevel="0" collapsed="false">
      <c r="A22" s="2" t="s">
        <v>39</v>
      </c>
      <c r="B22" s="3" t="n">
        <v>1021</v>
      </c>
      <c r="C22" s="2" t="n">
        <v>1109</v>
      </c>
      <c r="D22" s="2" t="s">
        <v>28</v>
      </c>
      <c r="E22" s="4" t="n">
        <v>3</v>
      </c>
      <c r="F22" s="4" t="n">
        <v>8</v>
      </c>
      <c r="G22" s="4" t="n">
        <f aca="false">F22-E22</f>
        <v>5</v>
      </c>
      <c r="H22" s="4" t="n">
        <f aca="false">IF(F22&gt;50,0.2,0.1)*G22</f>
        <v>0.5</v>
      </c>
      <c r="I22" s="2" t="s">
        <v>17</v>
      </c>
      <c r="J22" s="2" t="s">
        <v>18</v>
      </c>
      <c r="K22" s="2" t="s">
        <v>36</v>
      </c>
    </row>
    <row r="23" customFormat="false" ht="15" hidden="false" customHeight="false" outlineLevel="0" collapsed="false">
      <c r="A23" s="2" t="s">
        <v>39</v>
      </c>
      <c r="B23" s="3" t="n">
        <v>1022</v>
      </c>
      <c r="C23" s="2" t="n">
        <v>2877</v>
      </c>
      <c r="D23" s="2" t="s">
        <v>16</v>
      </c>
      <c r="E23" s="4" t="n">
        <v>11.4</v>
      </c>
      <c r="F23" s="4" t="n">
        <v>16.3</v>
      </c>
      <c r="G23" s="4" t="n">
        <f aca="false">F23-E23</f>
        <v>4.9</v>
      </c>
      <c r="H23" s="4" t="n">
        <f aca="false">IF(F23&gt;50,0.2,0.1)*G23</f>
        <v>0.49</v>
      </c>
      <c r="I23" s="2" t="s">
        <v>22</v>
      </c>
      <c r="J23" s="2" t="s">
        <v>23</v>
      </c>
      <c r="K23" s="2" t="s">
        <v>42</v>
      </c>
    </row>
    <row r="24" customFormat="false" ht="15" hidden="false" customHeight="false" outlineLevel="0" collapsed="false">
      <c r="A24" s="2" t="s">
        <v>39</v>
      </c>
      <c r="B24" s="3" t="n">
        <v>1023</v>
      </c>
      <c r="C24" s="2" t="n">
        <v>1109</v>
      </c>
      <c r="D24" s="2" t="s">
        <v>28</v>
      </c>
      <c r="E24" s="4" t="n">
        <v>3</v>
      </c>
      <c r="F24" s="4" t="n">
        <v>8</v>
      </c>
      <c r="G24" s="4" t="n">
        <f aca="false">F24-E24</f>
        <v>5</v>
      </c>
      <c r="H24" s="4" t="n">
        <f aca="false">IF(F24&gt;50,0.2,0.1)*G24</f>
        <v>0.5</v>
      </c>
      <c r="I24" s="2" t="s">
        <v>31</v>
      </c>
      <c r="J24" s="2" t="s">
        <v>32</v>
      </c>
      <c r="K24" s="2" t="s">
        <v>15</v>
      </c>
    </row>
    <row r="25" customFormat="false" ht="15" hidden="false" customHeight="false" outlineLevel="0" collapsed="false">
      <c r="A25" s="2" t="s">
        <v>39</v>
      </c>
      <c r="B25" s="3" t="n">
        <v>1024</v>
      </c>
      <c r="C25" s="2" t="n">
        <v>9212</v>
      </c>
      <c r="D25" s="2" t="s">
        <v>38</v>
      </c>
      <c r="E25" s="4" t="n">
        <v>4</v>
      </c>
      <c r="F25" s="4" t="n">
        <v>7</v>
      </c>
      <c r="G25" s="4" t="n">
        <f aca="false">F25-E25</f>
        <v>3</v>
      </c>
      <c r="H25" s="4" t="n">
        <f aca="false">IF(F25&gt;50,0.2,0.1)*G25</f>
        <v>0.3</v>
      </c>
      <c r="I25" s="2" t="s">
        <v>17</v>
      </c>
      <c r="J25" s="2" t="s">
        <v>18</v>
      </c>
      <c r="K25" s="2" t="s">
        <v>42</v>
      </c>
    </row>
    <row r="26" customFormat="false" ht="15" hidden="false" customHeight="false" outlineLevel="0" collapsed="false">
      <c r="A26" s="2" t="s">
        <v>39</v>
      </c>
      <c r="B26" s="3" t="n">
        <v>1025</v>
      </c>
      <c r="C26" s="2" t="n">
        <v>2877</v>
      </c>
      <c r="D26" s="2" t="s">
        <v>16</v>
      </c>
      <c r="E26" s="4" t="n">
        <v>11.4</v>
      </c>
      <c r="F26" s="4" t="n">
        <v>16.3</v>
      </c>
      <c r="G26" s="4" t="n">
        <f aca="false">F26-E26</f>
        <v>4.9</v>
      </c>
      <c r="H26" s="4" t="n">
        <f aca="false">IF(F26&gt;50,0.2,0.1)*G26</f>
        <v>0.49</v>
      </c>
      <c r="I26" s="2" t="s">
        <v>31</v>
      </c>
      <c r="J26" s="2" t="s">
        <v>32</v>
      </c>
      <c r="K26" s="2" t="s">
        <v>41</v>
      </c>
    </row>
    <row r="27" customFormat="false" ht="15" hidden="false" customHeight="false" outlineLevel="0" collapsed="false">
      <c r="A27" s="2" t="s">
        <v>39</v>
      </c>
      <c r="B27" s="3" t="n">
        <v>1026</v>
      </c>
      <c r="C27" s="2" t="n">
        <v>6119</v>
      </c>
      <c r="D27" s="2" t="s">
        <v>43</v>
      </c>
      <c r="E27" s="4" t="n">
        <v>9</v>
      </c>
      <c r="F27" s="4" t="n">
        <v>14</v>
      </c>
      <c r="G27" s="4" t="n">
        <f aca="false">F27-E27</f>
        <v>5</v>
      </c>
      <c r="H27" s="4" t="n">
        <f aca="false">IF(F27&gt;50,0.2,0.1)*G27</f>
        <v>0.5</v>
      </c>
      <c r="I27" s="2" t="s">
        <v>31</v>
      </c>
      <c r="J27" s="2" t="s">
        <v>32</v>
      </c>
      <c r="K27" s="2" t="s">
        <v>15</v>
      </c>
    </row>
    <row r="28" customFormat="false" ht="15" hidden="false" customHeight="false" outlineLevel="0" collapsed="false">
      <c r="A28" s="2" t="s">
        <v>39</v>
      </c>
      <c r="B28" s="3" t="n">
        <v>1027</v>
      </c>
      <c r="C28" s="2" t="n">
        <v>6119</v>
      </c>
      <c r="D28" s="2" t="s">
        <v>43</v>
      </c>
      <c r="E28" s="4" t="n">
        <v>9</v>
      </c>
      <c r="F28" s="4" t="n">
        <v>14</v>
      </c>
      <c r="G28" s="4" t="n">
        <f aca="false">F28-E28</f>
        <v>5</v>
      </c>
      <c r="H28" s="4" t="n">
        <f aca="false">IF(F28&gt;50,0.2,0.1)*G28</f>
        <v>0.5</v>
      </c>
      <c r="I28" s="2" t="s">
        <v>13</v>
      </c>
      <c r="J28" s="2" t="s">
        <v>14</v>
      </c>
      <c r="K28" s="2" t="s">
        <v>41</v>
      </c>
    </row>
    <row r="29" customFormat="false" ht="15" hidden="false" customHeight="false" outlineLevel="0" collapsed="false">
      <c r="A29" s="2" t="s">
        <v>39</v>
      </c>
      <c r="B29" s="3" t="n">
        <v>1028</v>
      </c>
      <c r="C29" s="2" t="n">
        <v>8722</v>
      </c>
      <c r="D29" s="2" t="s">
        <v>26</v>
      </c>
      <c r="E29" s="4" t="n">
        <v>344</v>
      </c>
      <c r="F29" s="4" t="n">
        <v>502</v>
      </c>
      <c r="G29" s="4" t="n">
        <f aca="false">F29-E29</f>
        <v>158</v>
      </c>
      <c r="H29" s="4" t="n">
        <f aca="false">IF(F29&gt;50,0.2,0.1)*G29</f>
        <v>31.6</v>
      </c>
      <c r="I29" s="2" t="s">
        <v>13</v>
      </c>
      <c r="J29" s="2" t="s">
        <v>14</v>
      </c>
      <c r="K29" s="2" t="s">
        <v>24</v>
      </c>
    </row>
    <row r="30" customFormat="false" ht="15" hidden="false" customHeight="false" outlineLevel="0" collapsed="false">
      <c r="A30" s="2" t="s">
        <v>39</v>
      </c>
      <c r="B30" s="3" t="n">
        <v>1029</v>
      </c>
      <c r="C30" s="2" t="n">
        <v>2499</v>
      </c>
      <c r="D30" s="2" t="s">
        <v>21</v>
      </c>
      <c r="E30" s="4" t="n">
        <v>6.2</v>
      </c>
      <c r="F30" s="4" t="n">
        <v>9.2</v>
      </c>
      <c r="G30" s="4" t="n">
        <f aca="false">F30-E30</f>
        <v>3</v>
      </c>
      <c r="H30" s="4" t="n">
        <f aca="false">IF(F30&gt;50,0.2,0.1)*G30</f>
        <v>0.3</v>
      </c>
      <c r="I30" s="2" t="s">
        <v>17</v>
      </c>
      <c r="J30" s="2" t="s">
        <v>18</v>
      </c>
      <c r="K30" s="2" t="s">
        <v>24</v>
      </c>
    </row>
    <row r="31" customFormat="false" ht="15" hidden="false" customHeight="false" outlineLevel="0" collapsed="false">
      <c r="A31" s="2" t="s">
        <v>39</v>
      </c>
      <c r="B31" s="3" t="n">
        <v>1030</v>
      </c>
      <c r="C31" s="2" t="n">
        <v>4421</v>
      </c>
      <c r="D31" s="2" t="s">
        <v>37</v>
      </c>
      <c r="E31" s="4" t="n">
        <v>45</v>
      </c>
      <c r="F31" s="4" t="n">
        <v>87</v>
      </c>
      <c r="G31" s="4" t="n">
        <f aca="false">F31-E31</f>
        <v>42</v>
      </c>
      <c r="H31" s="4" t="n">
        <f aca="false">IF(F31&gt;50,0.2,0.1)*G31</f>
        <v>8.4</v>
      </c>
      <c r="I31" s="2" t="s">
        <v>17</v>
      </c>
      <c r="J31" s="2" t="s">
        <v>18</v>
      </c>
      <c r="K31" s="2" t="s">
        <v>41</v>
      </c>
    </row>
    <row r="32" customFormat="false" ht="15" hidden="false" customHeight="false" outlineLevel="0" collapsed="false">
      <c r="A32" s="2" t="s">
        <v>39</v>
      </c>
      <c r="B32" s="3" t="n">
        <v>1031</v>
      </c>
      <c r="C32" s="2" t="n">
        <v>1109</v>
      </c>
      <c r="D32" s="2" t="s">
        <v>28</v>
      </c>
      <c r="E32" s="4" t="n">
        <v>3</v>
      </c>
      <c r="F32" s="4" t="n">
        <v>8</v>
      </c>
      <c r="G32" s="4" t="n">
        <f aca="false">F32-E32</f>
        <v>5</v>
      </c>
      <c r="H32" s="4" t="n">
        <f aca="false">IF(F32&gt;50,0.2,0.1)*G32</f>
        <v>0.5</v>
      </c>
      <c r="I32" s="2" t="s">
        <v>17</v>
      </c>
      <c r="J32" s="2" t="s">
        <v>18</v>
      </c>
      <c r="K32" s="2" t="s">
        <v>19</v>
      </c>
    </row>
    <row r="33" customFormat="false" ht="15" hidden="false" customHeight="false" outlineLevel="0" collapsed="false">
      <c r="A33" s="2" t="s">
        <v>39</v>
      </c>
      <c r="B33" s="3" t="n">
        <v>1032</v>
      </c>
      <c r="C33" s="2" t="n">
        <v>2877</v>
      </c>
      <c r="D33" s="2" t="s">
        <v>16</v>
      </c>
      <c r="E33" s="4" t="n">
        <v>11.4</v>
      </c>
      <c r="F33" s="4" t="n">
        <v>16.3</v>
      </c>
      <c r="G33" s="4" t="n">
        <f aca="false">F33-E33</f>
        <v>4.9</v>
      </c>
      <c r="H33" s="4" t="n">
        <f aca="false">IF(F33&gt;50,0.2,0.1)*G33</f>
        <v>0.49</v>
      </c>
      <c r="I33" s="2" t="s">
        <v>13</v>
      </c>
      <c r="J33" s="2" t="s">
        <v>14</v>
      </c>
      <c r="K33" s="2" t="s">
        <v>24</v>
      </c>
    </row>
    <row r="34" customFormat="false" ht="15" hidden="false" customHeight="false" outlineLevel="0" collapsed="false">
      <c r="A34" s="2" t="s">
        <v>39</v>
      </c>
      <c r="B34" s="3" t="n">
        <v>1033</v>
      </c>
      <c r="C34" s="2" t="n">
        <v>9822</v>
      </c>
      <c r="D34" s="2" t="s">
        <v>12</v>
      </c>
      <c r="E34" s="4" t="n">
        <v>58.3</v>
      </c>
      <c r="F34" s="4" t="n">
        <v>98.4</v>
      </c>
      <c r="G34" s="4" t="n">
        <f aca="false">F34-E34</f>
        <v>40.1</v>
      </c>
      <c r="H34" s="4" t="n">
        <f aca="false">IF(F34&gt;50,0.2,0.1)*G34</f>
        <v>8.02</v>
      </c>
      <c r="I34" s="2" t="s">
        <v>17</v>
      </c>
      <c r="J34" s="2" t="s">
        <v>18</v>
      </c>
      <c r="K34" s="2" t="s">
        <v>19</v>
      </c>
    </row>
    <row r="35" customFormat="false" ht="15" hidden="false" customHeight="false" outlineLevel="0" collapsed="false">
      <c r="A35" s="2" t="s">
        <v>39</v>
      </c>
      <c r="B35" s="3" t="n">
        <v>1034</v>
      </c>
      <c r="C35" s="2" t="n">
        <v>2877</v>
      </c>
      <c r="D35" s="2" t="s">
        <v>16</v>
      </c>
      <c r="E35" s="4" t="n">
        <v>11.4</v>
      </c>
      <c r="F35" s="4" t="n">
        <v>16.3</v>
      </c>
      <c r="G35" s="4" t="n">
        <f aca="false">F35-E35</f>
        <v>4.9</v>
      </c>
      <c r="H35" s="4" t="n">
        <f aca="false">IF(F35&gt;50,0.2,0.1)*G35</f>
        <v>0.49</v>
      </c>
      <c r="I35" s="2" t="s">
        <v>17</v>
      </c>
      <c r="J35" s="2" t="s">
        <v>18</v>
      </c>
      <c r="K35" s="2" t="s">
        <v>36</v>
      </c>
    </row>
    <row r="36" customFormat="false" ht="15" hidden="false" customHeight="false" outlineLevel="0" collapsed="false">
      <c r="A36" s="2" t="s">
        <v>44</v>
      </c>
      <c r="B36" s="3" t="n">
        <v>1035</v>
      </c>
      <c r="C36" s="2" t="n">
        <v>2499</v>
      </c>
      <c r="D36" s="2" t="s">
        <v>21</v>
      </c>
      <c r="E36" s="4" t="n">
        <v>6.2</v>
      </c>
      <c r="F36" s="4" t="n">
        <v>9.2</v>
      </c>
      <c r="G36" s="4" t="n">
        <f aca="false">F36-E36</f>
        <v>3</v>
      </c>
      <c r="H36" s="4" t="n">
        <f aca="false">IF(F36&gt;50,0.2,0.1)*G36</f>
        <v>0.3</v>
      </c>
      <c r="I36" s="2" t="s">
        <v>31</v>
      </c>
      <c r="J36" s="2" t="s">
        <v>32</v>
      </c>
      <c r="K36" s="2" t="s">
        <v>19</v>
      </c>
    </row>
    <row r="37" customFormat="false" ht="15" hidden="false" customHeight="false" outlineLevel="0" collapsed="false">
      <c r="A37" s="2" t="s">
        <v>44</v>
      </c>
      <c r="B37" s="3" t="n">
        <v>1036</v>
      </c>
      <c r="C37" s="2" t="n">
        <v>2499</v>
      </c>
      <c r="D37" s="2" t="s">
        <v>21</v>
      </c>
      <c r="E37" s="4" t="n">
        <v>6.2</v>
      </c>
      <c r="F37" s="4" t="n">
        <v>9.2</v>
      </c>
      <c r="G37" s="4" t="n">
        <f aca="false">F37-E37</f>
        <v>3</v>
      </c>
      <c r="H37" s="4" t="n">
        <f aca="false">IF(F37&gt;50,0.2,0.1)*G37</f>
        <v>0.3</v>
      </c>
      <c r="I37" s="2" t="s">
        <v>17</v>
      </c>
      <c r="J37" s="2" t="s">
        <v>18</v>
      </c>
      <c r="K37" s="2" t="s">
        <v>41</v>
      </c>
    </row>
    <row r="38" customFormat="false" ht="15" hidden="false" customHeight="false" outlineLevel="0" collapsed="false">
      <c r="A38" s="2" t="s">
        <v>44</v>
      </c>
      <c r="B38" s="3" t="n">
        <v>1037</v>
      </c>
      <c r="C38" s="2" t="n">
        <v>6622</v>
      </c>
      <c r="D38" s="2" t="s">
        <v>45</v>
      </c>
      <c r="E38" s="4" t="n">
        <v>42</v>
      </c>
      <c r="F38" s="4" t="n">
        <v>77</v>
      </c>
      <c r="G38" s="4" t="n">
        <f aca="false">F38-E38</f>
        <v>35</v>
      </c>
      <c r="H38" s="4" t="n">
        <f aca="false">IF(F38&gt;50,0.2,0.1)*G38</f>
        <v>7</v>
      </c>
      <c r="I38" s="2" t="s">
        <v>17</v>
      </c>
      <c r="J38" s="2" t="s">
        <v>18</v>
      </c>
      <c r="K38" s="2" t="s">
        <v>41</v>
      </c>
    </row>
    <row r="39" customFormat="false" ht="15" hidden="false" customHeight="false" outlineLevel="0" collapsed="false">
      <c r="A39" s="2" t="s">
        <v>44</v>
      </c>
      <c r="B39" s="3" t="n">
        <v>1038</v>
      </c>
      <c r="C39" s="2" t="n">
        <v>2499</v>
      </c>
      <c r="D39" s="2" t="s">
        <v>21</v>
      </c>
      <c r="E39" s="4" t="n">
        <v>6.2</v>
      </c>
      <c r="F39" s="4" t="n">
        <v>9.2</v>
      </c>
      <c r="G39" s="4" t="n">
        <f aca="false">F39-E39</f>
        <v>3</v>
      </c>
      <c r="H39" s="4" t="n">
        <f aca="false">IF(F39&gt;50,0.2,0.1)*G39</f>
        <v>0.3</v>
      </c>
      <c r="I39" s="2" t="s">
        <v>17</v>
      </c>
      <c r="J39" s="2" t="s">
        <v>18</v>
      </c>
      <c r="K39" s="2" t="s">
        <v>41</v>
      </c>
    </row>
    <row r="40" customFormat="false" ht="15" hidden="false" customHeight="false" outlineLevel="0" collapsed="false">
      <c r="A40" s="2" t="s">
        <v>44</v>
      </c>
      <c r="B40" s="3" t="n">
        <v>1039</v>
      </c>
      <c r="C40" s="2" t="n">
        <v>2877</v>
      </c>
      <c r="D40" s="2" t="s">
        <v>16</v>
      </c>
      <c r="E40" s="4" t="n">
        <v>11.4</v>
      </c>
      <c r="F40" s="4" t="n">
        <v>16.3</v>
      </c>
      <c r="G40" s="4" t="n">
        <f aca="false">F40-E40</f>
        <v>4.9</v>
      </c>
      <c r="H40" s="4" t="n">
        <f aca="false">IF(F40&gt;50,0.2,0.1)*G40</f>
        <v>0.49</v>
      </c>
      <c r="I40" s="2" t="s">
        <v>17</v>
      </c>
      <c r="J40" s="2" t="s">
        <v>18</v>
      </c>
      <c r="K40" s="2" t="s">
        <v>19</v>
      </c>
    </row>
    <row r="41" customFormat="false" ht="15" hidden="false" customHeight="false" outlineLevel="0" collapsed="false">
      <c r="A41" s="2" t="s">
        <v>44</v>
      </c>
      <c r="B41" s="3" t="n">
        <v>1040</v>
      </c>
      <c r="C41" s="2" t="n">
        <v>1109</v>
      </c>
      <c r="D41" s="2" t="s">
        <v>28</v>
      </c>
      <c r="E41" s="4" t="n">
        <v>3</v>
      </c>
      <c r="F41" s="4" t="n">
        <v>8</v>
      </c>
      <c r="G41" s="4" t="n">
        <f aca="false">F41-E41</f>
        <v>5</v>
      </c>
      <c r="H41" s="4" t="n">
        <f aca="false">IF(F41&gt;50,0.2,0.1)*G41</f>
        <v>0.5</v>
      </c>
      <c r="I41" s="2" t="s">
        <v>17</v>
      </c>
      <c r="J41" s="2" t="s">
        <v>18</v>
      </c>
      <c r="K41" s="2" t="s">
        <v>24</v>
      </c>
    </row>
    <row r="42" customFormat="false" ht="15" hidden="false" customHeight="false" outlineLevel="0" collapsed="false">
      <c r="A42" s="2" t="s">
        <v>44</v>
      </c>
      <c r="B42" s="3" t="n">
        <v>1041</v>
      </c>
      <c r="C42" s="2" t="n">
        <v>2499</v>
      </c>
      <c r="D42" s="2" t="s">
        <v>21</v>
      </c>
      <c r="E42" s="4" t="n">
        <v>6.2</v>
      </c>
      <c r="F42" s="4" t="n">
        <v>9.2</v>
      </c>
      <c r="G42" s="4" t="n">
        <f aca="false">F42-E42</f>
        <v>3</v>
      </c>
      <c r="H42" s="4" t="n">
        <f aca="false">IF(F42&gt;50,0.2,0.1)*G42</f>
        <v>0.3</v>
      </c>
      <c r="I42" s="2" t="s">
        <v>13</v>
      </c>
      <c r="J42" s="2" t="s">
        <v>14</v>
      </c>
      <c r="K42" s="2" t="s">
        <v>15</v>
      </c>
    </row>
    <row r="43" customFormat="false" ht="15" hidden="false" customHeight="false" outlineLevel="0" collapsed="false">
      <c r="A43" s="2" t="s">
        <v>44</v>
      </c>
      <c r="B43" s="3" t="n">
        <v>1042</v>
      </c>
      <c r="C43" s="2" t="n">
        <v>8722</v>
      </c>
      <c r="D43" s="2" t="s">
        <v>26</v>
      </c>
      <c r="E43" s="4" t="n">
        <v>344</v>
      </c>
      <c r="F43" s="4" t="n">
        <v>502</v>
      </c>
      <c r="G43" s="4" t="n">
        <f aca="false">F43-E43</f>
        <v>158</v>
      </c>
      <c r="H43" s="4" t="n">
        <f aca="false">IF(F43&gt;50,0.2,0.1)*G43</f>
        <v>31.6</v>
      </c>
      <c r="I43" s="2" t="s">
        <v>22</v>
      </c>
      <c r="J43" s="2" t="s">
        <v>23</v>
      </c>
      <c r="K43" s="2" t="s">
        <v>15</v>
      </c>
    </row>
    <row r="44" customFormat="false" ht="15" hidden="false" customHeight="false" outlineLevel="0" collapsed="false">
      <c r="A44" s="2" t="s">
        <v>44</v>
      </c>
      <c r="B44" s="3" t="n">
        <v>1043</v>
      </c>
      <c r="C44" s="2" t="n">
        <v>2242</v>
      </c>
      <c r="D44" s="2" t="s">
        <v>40</v>
      </c>
      <c r="E44" s="4" t="n">
        <v>60</v>
      </c>
      <c r="F44" s="4" t="n">
        <v>124</v>
      </c>
      <c r="G44" s="4" t="n">
        <f aca="false">F44-E44</f>
        <v>64</v>
      </c>
      <c r="H44" s="4" t="n">
        <f aca="false">IF(F44&gt;50,0.2,0.1)*G44</f>
        <v>12.8</v>
      </c>
      <c r="I44" s="2" t="s">
        <v>22</v>
      </c>
      <c r="J44" s="2" t="s">
        <v>23</v>
      </c>
      <c r="K44" s="2" t="s">
        <v>19</v>
      </c>
    </row>
    <row r="45" customFormat="false" ht="15" hidden="false" customHeight="false" outlineLevel="0" collapsed="false">
      <c r="A45" s="2" t="s">
        <v>44</v>
      </c>
      <c r="B45" s="3" t="n">
        <v>1044</v>
      </c>
      <c r="C45" s="2" t="n">
        <v>2877</v>
      </c>
      <c r="D45" s="2" t="s">
        <v>16</v>
      </c>
      <c r="E45" s="4" t="n">
        <v>11.4</v>
      </c>
      <c r="F45" s="4" t="n">
        <v>16.3</v>
      </c>
      <c r="G45" s="4" t="n">
        <f aca="false">F45-E45</f>
        <v>4.9</v>
      </c>
      <c r="H45" s="4" t="n">
        <f aca="false">IF(F45&gt;50,0.2,0.1)*G45</f>
        <v>0.49</v>
      </c>
      <c r="I45" s="2" t="s">
        <v>22</v>
      </c>
      <c r="J45" s="2" t="s">
        <v>23</v>
      </c>
      <c r="K45" s="2" t="s">
        <v>19</v>
      </c>
    </row>
    <row r="46" customFormat="false" ht="15" hidden="false" customHeight="false" outlineLevel="0" collapsed="false">
      <c r="A46" s="2" t="s">
        <v>44</v>
      </c>
      <c r="B46" s="3" t="n">
        <v>1045</v>
      </c>
      <c r="C46" s="2" t="n">
        <v>8722</v>
      </c>
      <c r="D46" s="2" t="s">
        <v>26</v>
      </c>
      <c r="E46" s="4" t="n">
        <v>344</v>
      </c>
      <c r="F46" s="4" t="n">
        <v>502</v>
      </c>
      <c r="G46" s="4" t="n">
        <f aca="false">F46-E46</f>
        <v>158</v>
      </c>
      <c r="H46" s="4" t="n">
        <f aca="false">IF(F46&gt;50,0.2,0.1)*G46</f>
        <v>31.6</v>
      </c>
      <c r="I46" s="2" t="s">
        <v>31</v>
      </c>
      <c r="J46" s="2" t="s">
        <v>32</v>
      </c>
      <c r="K46" s="2" t="s">
        <v>24</v>
      </c>
    </row>
    <row r="47" customFormat="false" ht="15" hidden="false" customHeight="false" outlineLevel="0" collapsed="false">
      <c r="A47" s="2" t="s">
        <v>44</v>
      </c>
      <c r="B47" s="3" t="n">
        <v>1046</v>
      </c>
      <c r="C47" s="2" t="n">
        <v>6119</v>
      </c>
      <c r="D47" s="2" t="s">
        <v>43</v>
      </c>
      <c r="E47" s="4" t="n">
        <v>9</v>
      </c>
      <c r="F47" s="4" t="n">
        <v>14</v>
      </c>
      <c r="G47" s="4" t="n">
        <f aca="false">F47-E47</f>
        <v>5</v>
      </c>
      <c r="H47" s="4" t="n">
        <f aca="false">IF(F47&gt;50,0.2,0.1)*G47</f>
        <v>0.5</v>
      </c>
      <c r="I47" s="2" t="s">
        <v>17</v>
      </c>
      <c r="J47" s="2" t="s">
        <v>18</v>
      </c>
      <c r="K47" s="2" t="s">
        <v>42</v>
      </c>
    </row>
    <row r="48" customFormat="false" ht="15" hidden="false" customHeight="false" outlineLevel="0" collapsed="false">
      <c r="A48" s="2" t="s">
        <v>44</v>
      </c>
      <c r="B48" s="3" t="n">
        <v>1047</v>
      </c>
      <c r="C48" s="2" t="n">
        <v>6622</v>
      </c>
      <c r="D48" s="2" t="s">
        <v>45</v>
      </c>
      <c r="E48" s="4" t="n">
        <v>42</v>
      </c>
      <c r="F48" s="4" t="n">
        <v>77</v>
      </c>
      <c r="G48" s="4" t="n">
        <f aca="false">F48-E48</f>
        <v>35</v>
      </c>
      <c r="H48" s="4" t="n">
        <f aca="false">IF(F48&gt;50,0.2,0.1)*G48</f>
        <v>7</v>
      </c>
      <c r="I48" s="2" t="s">
        <v>31</v>
      </c>
      <c r="J48" s="2" t="s">
        <v>32</v>
      </c>
      <c r="K48" s="2" t="s">
        <v>24</v>
      </c>
    </row>
    <row r="49" customFormat="false" ht="15" hidden="false" customHeight="false" outlineLevel="0" collapsed="false">
      <c r="A49" s="2" t="s">
        <v>44</v>
      </c>
      <c r="B49" s="3" t="n">
        <v>1048</v>
      </c>
      <c r="C49" s="2" t="n">
        <v>8722</v>
      </c>
      <c r="D49" s="2" t="s">
        <v>26</v>
      </c>
      <c r="E49" s="4" t="n">
        <v>344</v>
      </c>
      <c r="F49" s="4" t="n">
        <v>502</v>
      </c>
      <c r="G49" s="4" t="n">
        <f aca="false">F49-E49</f>
        <v>158</v>
      </c>
      <c r="H49" s="4" t="n">
        <f aca="false">IF(F49&gt;50,0.2,0.1)*G49</f>
        <v>31.6</v>
      </c>
      <c r="I49" s="2" t="s">
        <v>13</v>
      </c>
      <c r="J49" s="2" t="s">
        <v>14</v>
      </c>
      <c r="K49" s="2" t="s">
        <v>24</v>
      </c>
    </row>
    <row r="50" customFormat="false" ht="15" hidden="false" customHeight="false" outlineLevel="0" collapsed="false">
      <c r="A50" s="2" t="s">
        <v>46</v>
      </c>
      <c r="B50" s="3" t="n">
        <v>1049</v>
      </c>
      <c r="C50" s="2" t="n">
        <v>2499</v>
      </c>
      <c r="D50" s="2" t="s">
        <v>21</v>
      </c>
      <c r="E50" s="4" t="n">
        <v>6.2</v>
      </c>
      <c r="F50" s="4" t="n">
        <v>9.2</v>
      </c>
      <c r="G50" s="4" t="n">
        <f aca="false">F50-E50</f>
        <v>3</v>
      </c>
      <c r="H50" s="4" t="n">
        <f aca="false">IF(F50&gt;50,0.2,0.1)*G50</f>
        <v>0.3</v>
      </c>
      <c r="I50" s="2" t="s">
        <v>13</v>
      </c>
      <c r="J50" s="2" t="s">
        <v>14</v>
      </c>
      <c r="K50" s="2" t="s">
        <v>36</v>
      </c>
    </row>
    <row r="51" customFormat="false" ht="15" hidden="false" customHeight="false" outlineLevel="0" collapsed="false">
      <c r="A51" s="2" t="s">
        <v>46</v>
      </c>
      <c r="B51" s="3" t="n">
        <v>1050</v>
      </c>
      <c r="C51" s="2" t="n">
        <v>2877</v>
      </c>
      <c r="D51" s="2" t="s">
        <v>16</v>
      </c>
      <c r="E51" s="4" t="n">
        <v>11.4</v>
      </c>
      <c r="F51" s="4" t="n">
        <v>16.3</v>
      </c>
      <c r="G51" s="4" t="n">
        <f aca="false">F51-E51</f>
        <v>4.9</v>
      </c>
      <c r="H51" s="4" t="n">
        <f aca="false">IF(F51&gt;50,0.2,0.1)*G51</f>
        <v>0.49</v>
      </c>
      <c r="I51" s="2" t="s">
        <v>13</v>
      </c>
      <c r="J51" s="2" t="s">
        <v>14</v>
      </c>
      <c r="K51" s="2" t="s">
        <v>24</v>
      </c>
    </row>
    <row r="52" customFormat="false" ht="15" hidden="false" customHeight="false" outlineLevel="0" collapsed="false">
      <c r="A52" s="2" t="s">
        <v>46</v>
      </c>
      <c r="B52" s="3" t="n">
        <v>1051</v>
      </c>
      <c r="C52" s="2" t="n">
        <v>6119</v>
      </c>
      <c r="D52" s="2" t="s">
        <v>43</v>
      </c>
      <c r="E52" s="4" t="n">
        <v>9</v>
      </c>
      <c r="F52" s="4" t="n">
        <v>14</v>
      </c>
      <c r="G52" s="4" t="n">
        <f aca="false">F52-E52</f>
        <v>5</v>
      </c>
      <c r="H52" s="4" t="n">
        <f aca="false">IF(F52&gt;50,0.2,0.1)*G52</f>
        <v>0.5</v>
      </c>
      <c r="I52" s="2" t="s">
        <v>22</v>
      </c>
      <c r="J52" s="2" t="s">
        <v>23</v>
      </c>
      <c r="K52" s="2" t="s">
        <v>42</v>
      </c>
    </row>
    <row r="53" customFormat="false" ht="15" hidden="false" customHeight="false" outlineLevel="0" collapsed="false">
      <c r="A53" s="2" t="s">
        <v>46</v>
      </c>
      <c r="B53" s="3" t="n">
        <v>1052</v>
      </c>
      <c r="C53" s="2" t="n">
        <v>6622</v>
      </c>
      <c r="D53" s="2" t="s">
        <v>45</v>
      </c>
      <c r="E53" s="4" t="n">
        <v>42</v>
      </c>
      <c r="F53" s="4" t="n">
        <v>77</v>
      </c>
      <c r="G53" s="4" t="n">
        <f aca="false">F53-E53</f>
        <v>35</v>
      </c>
      <c r="H53" s="4" t="n">
        <f aca="false">IF(F53&gt;50,0.2,0.1)*G53</f>
        <v>7</v>
      </c>
      <c r="I53" s="2" t="s">
        <v>22</v>
      </c>
      <c r="J53" s="2" t="s">
        <v>23</v>
      </c>
      <c r="K53" s="2" t="s">
        <v>24</v>
      </c>
    </row>
    <row r="54" customFormat="false" ht="15" hidden="false" customHeight="false" outlineLevel="0" collapsed="false">
      <c r="A54" s="2" t="s">
        <v>46</v>
      </c>
      <c r="B54" s="3" t="n">
        <v>1053</v>
      </c>
      <c r="C54" s="2" t="n">
        <v>2242</v>
      </c>
      <c r="D54" s="2" t="s">
        <v>40</v>
      </c>
      <c r="E54" s="4" t="n">
        <v>60</v>
      </c>
      <c r="F54" s="4" t="n">
        <v>124</v>
      </c>
      <c r="G54" s="4" t="n">
        <f aca="false">F54-E54</f>
        <v>64</v>
      </c>
      <c r="H54" s="4" t="n">
        <f aca="false">IF(F54&gt;50,0.2,0.1)*G54</f>
        <v>12.8</v>
      </c>
      <c r="I54" s="2" t="s">
        <v>13</v>
      </c>
      <c r="J54" s="2" t="s">
        <v>14</v>
      </c>
      <c r="K54" s="2" t="s">
        <v>19</v>
      </c>
    </row>
    <row r="55" customFormat="false" ht="15" hidden="false" customHeight="false" outlineLevel="0" collapsed="false">
      <c r="A55" s="2" t="s">
        <v>46</v>
      </c>
      <c r="B55" s="3" t="n">
        <v>1054</v>
      </c>
      <c r="C55" s="2" t="n">
        <v>4421</v>
      </c>
      <c r="D55" s="2" t="s">
        <v>37</v>
      </c>
      <c r="E55" s="4" t="n">
        <v>45</v>
      </c>
      <c r="F55" s="4" t="n">
        <v>87</v>
      </c>
      <c r="G55" s="4" t="n">
        <f aca="false">F55-E55</f>
        <v>42</v>
      </c>
      <c r="H55" s="4" t="n">
        <f aca="false">IF(F55&gt;50,0.2,0.1)*G55</f>
        <v>8.4</v>
      </c>
      <c r="I55" s="2" t="s">
        <v>22</v>
      </c>
      <c r="J55" s="2" t="s">
        <v>23</v>
      </c>
      <c r="K55" s="2" t="s">
        <v>41</v>
      </c>
    </row>
    <row r="56" customFormat="false" ht="15" hidden="false" customHeight="false" outlineLevel="0" collapsed="false">
      <c r="A56" s="2" t="s">
        <v>46</v>
      </c>
      <c r="B56" s="3" t="n">
        <v>1055</v>
      </c>
      <c r="C56" s="2" t="n">
        <v>6119</v>
      </c>
      <c r="D56" s="2" t="s">
        <v>43</v>
      </c>
      <c r="E56" s="4" t="n">
        <v>9</v>
      </c>
      <c r="F56" s="4" t="n">
        <v>14</v>
      </c>
      <c r="G56" s="4" t="n">
        <f aca="false">F56-E56</f>
        <v>5</v>
      </c>
      <c r="H56" s="4" t="n">
        <f aca="false">IF(F56&gt;50,0.2,0.1)*G56</f>
        <v>0.5</v>
      </c>
      <c r="I56" s="2" t="s">
        <v>17</v>
      </c>
      <c r="J56" s="2" t="s">
        <v>18</v>
      </c>
      <c r="K56" s="2" t="s">
        <v>41</v>
      </c>
    </row>
    <row r="57" customFormat="false" ht="15" hidden="false" customHeight="false" outlineLevel="0" collapsed="false">
      <c r="A57" s="2" t="s">
        <v>46</v>
      </c>
      <c r="B57" s="3" t="n">
        <v>1056</v>
      </c>
      <c r="C57" s="2" t="n">
        <v>1109</v>
      </c>
      <c r="D57" s="2" t="s">
        <v>28</v>
      </c>
      <c r="E57" s="4" t="n">
        <v>3</v>
      </c>
      <c r="F57" s="4" t="n">
        <v>8</v>
      </c>
      <c r="G57" s="4" t="n">
        <f aca="false">F57-E57</f>
        <v>5</v>
      </c>
      <c r="H57" s="4" t="n">
        <f aca="false">IF(F57&gt;50,0.2,0.1)*G57</f>
        <v>0.5</v>
      </c>
      <c r="I57" s="2" t="s">
        <v>22</v>
      </c>
      <c r="J57" s="2" t="s">
        <v>23</v>
      </c>
      <c r="K57" s="2" t="s">
        <v>19</v>
      </c>
    </row>
    <row r="58" customFormat="false" ht="15" hidden="false" customHeight="false" outlineLevel="0" collapsed="false">
      <c r="A58" s="2" t="s">
        <v>46</v>
      </c>
      <c r="B58" s="3" t="n">
        <v>1057</v>
      </c>
      <c r="C58" s="2" t="n">
        <v>2499</v>
      </c>
      <c r="D58" s="2" t="s">
        <v>21</v>
      </c>
      <c r="E58" s="4" t="n">
        <v>6.2</v>
      </c>
      <c r="F58" s="4" t="n">
        <v>9.2</v>
      </c>
      <c r="G58" s="4" t="n">
        <f aca="false">F58-E58</f>
        <v>3</v>
      </c>
      <c r="H58" s="4" t="n">
        <f aca="false">IF(F58&gt;50,0.2,0.1)*G58</f>
        <v>0.3</v>
      </c>
      <c r="I58" s="2" t="s">
        <v>17</v>
      </c>
      <c r="J58" s="2" t="s">
        <v>18</v>
      </c>
      <c r="K58" s="2" t="s">
        <v>19</v>
      </c>
    </row>
    <row r="59" customFormat="false" ht="15" hidden="false" customHeight="false" outlineLevel="0" collapsed="false">
      <c r="A59" s="2" t="s">
        <v>46</v>
      </c>
      <c r="B59" s="3" t="n">
        <v>1058</v>
      </c>
      <c r="C59" s="2" t="n">
        <v>6119</v>
      </c>
      <c r="D59" s="2" t="s">
        <v>43</v>
      </c>
      <c r="E59" s="4" t="n">
        <v>9</v>
      </c>
      <c r="F59" s="4" t="n">
        <v>14</v>
      </c>
      <c r="G59" s="4" t="n">
        <f aca="false">F59-E59</f>
        <v>5</v>
      </c>
      <c r="H59" s="4" t="n">
        <f aca="false">IF(F59&gt;50,0.2,0.1)*G59</f>
        <v>0.5</v>
      </c>
      <c r="I59" s="2" t="s">
        <v>31</v>
      </c>
      <c r="J59" s="2" t="s">
        <v>32</v>
      </c>
      <c r="K59" s="2" t="s">
        <v>24</v>
      </c>
    </row>
    <row r="60" customFormat="false" ht="15" hidden="false" customHeight="false" outlineLevel="0" collapsed="false">
      <c r="A60" s="2" t="s">
        <v>46</v>
      </c>
      <c r="B60" s="3" t="n">
        <v>1059</v>
      </c>
      <c r="C60" s="2" t="n">
        <v>2242</v>
      </c>
      <c r="D60" s="2" t="s">
        <v>40</v>
      </c>
      <c r="E60" s="4" t="n">
        <v>60</v>
      </c>
      <c r="F60" s="4" t="n">
        <v>124</v>
      </c>
      <c r="G60" s="4" t="n">
        <f aca="false">F60-E60</f>
        <v>64</v>
      </c>
      <c r="H60" s="4" t="n">
        <f aca="false">IF(F60&gt;50,0.2,0.1)*G60</f>
        <v>12.8</v>
      </c>
      <c r="I60" s="2" t="s">
        <v>22</v>
      </c>
      <c r="J60" s="2" t="s">
        <v>23</v>
      </c>
      <c r="K60" s="2" t="s">
        <v>24</v>
      </c>
    </row>
    <row r="61" customFormat="false" ht="15" hidden="false" customHeight="false" outlineLevel="0" collapsed="false">
      <c r="A61" s="2" t="s">
        <v>46</v>
      </c>
      <c r="B61" s="3" t="n">
        <v>1060</v>
      </c>
      <c r="C61" s="2" t="n">
        <v>6119</v>
      </c>
      <c r="D61" s="2" t="s">
        <v>43</v>
      </c>
      <c r="E61" s="4" t="n">
        <v>9</v>
      </c>
      <c r="F61" s="4" t="n">
        <v>14</v>
      </c>
      <c r="G61" s="4" t="n">
        <f aca="false">F61-E61</f>
        <v>5</v>
      </c>
      <c r="H61" s="4" t="n">
        <f aca="false">IF(F61&gt;50,0.2,0.1)*G61</f>
        <v>0.5</v>
      </c>
      <c r="I61" s="2" t="s">
        <v>22</v>
      </c>
      <c r="J61" s="2" t="s">
        <v>23</v>
      </c>
      <c r="K61" s="2" t="s">
        <v>41</v>
      </c>
    </row>
    <row r="62" customFormat="false" ht="15" hidden="false" customHeight="false" outlineLevel="0" collapsed="false">
      <c r="A62" s="2" t="s">
        <v>47</v>
      </c>
      <c r="B62" s="3" t="n">
        <v>1061</v>
      </c>
      <c r="C62" s="2" t="n">
        <v>1109</v>
      </c>
      <c r="D62" s="2" t="s">
        <v>28</v>
      </c>
      <c r="E62" s="4" t="n">
        <v>3</v>
      </c>
      <c r="F62" s="4" t="n">
        <v>8</v>
      </c>
      <c r="G62" s="4" t="n">
        <f aca="false">F62-E62</f>
        <v>5</v>
      </c>
      <c r="H62" s="4" t="n">
        <f aca="false">IF(F62&gt;50,0.2,0.1)*G62</f>
        <v>0.5</v>
      </c>
      <c r="I62" s="2" t="s">
        <v>22</v>
      </c>
      <c r="J62" s="2" t="s">
        <v>23</v>
      </c>
      <c r="K62" s="2" t="s">
        <v>41</v>
      </c>
    </row>
    <row r="63" customFormat="false" ht="15" hidden="false" customHeight="false" outlineLevel="0" collapsed="false">
      <c r="A63" s="2" t="s">
        <v>47</v>
      </c>
      <c r="B63" s="3" t="n">
        <v>1062</v>
      </c>
      <c r="C63" s="2" t="n">
        <v>2499</v>
      </c>
      <c r="D63" s="2" t="s">
        <v>21</v>
      </c>
      <c r="E63" s="4" t="n">
        <v>6.2</v>
      </c>
      <c r="F63" s="4" t="n">
        <v>9.2</v>
      </c>
      <c r="G63" s="4" t="n">
        <f aca="false">F63-E63</f>
        <v>3</v>
      </c>
      <c r="H63" s="4" t="n">
        <f aca="false">IF(F63&gt;50,0.2,0.1)*G63</f>
        <v>0.3</v>
      </c>
      <c r="I63" s="2" t="s">
        <v>13</v>
      </c>
      <c r="J63" s="2" t="s">
        <v>14</v>
      </c>
      <c r="K63" s="2" t="s">
        <v>24</v>
      </c>
    </row>
    <row r="64" customFormat="false" ht="15" hidden="false" customHeight="false" outlineLevel="0" collapsed="false">
      <c r="A64" s="2" t="s">
        <v>47</v>
      </c>
      <c r="B64" s="3" t="n">
        <v>1063</v>
      </c>
      <c r="C64" s="2" t="n">
        <v>1109</v>
      </c>
      <c r="D64" s="2" t="s">
        <v>28</v>
      </c>
      <c r="E64" s="4" t="n">
        <v>3</v>
      </c>
      <c r="F64" s="4" t="n">
        <v>8</v>
      </c>
      <c r="G64" s="4" t="n">
        <f aca="false">F64-E64</f>
        <v>5</v>
      </c>
      <c r="H64" s="4" t="n">
        <f aca="false">IF(F64&gt;50,0.2,0.1)*G64</f>
        <v>0.5</v>
      </c>
      <c r="I64" s="2" t="s">
        <v>22</v>
      </c>
      <c r="J64" s="2" t="s">
        <v>23</v>
      </c>
      <c r="K64" s="2" t="s">
        <v>19</v>
      </c>
    </row>
    <row r="65" customFormat="false" ht="15" hidden="false" customHeight="false" outlineLevel="0" collapsed="false">
      <c r="A65" s="2" t="s">
        <v>47</v>
      </c>
      <c r="B65" s="3" t="n">
        <v>1064</v>
      </c>
      <c r="C65" s="2" t="n">
        <v>2499</v>
      </c>
      <c r="D65" s="2" t="s">
        <v>21</v>
      </c>
      <c r="E65" s="4" t="n">
        <v>6.2</v>
      </c>
      <c r="F65" s="4" t="n">
        <v>9.2</v>
      </c>
      <c r="G65" s="4" t="n">
        <f aca="false">F65-E65</f>
        <v>3</v>
      </c>
      <c r="H65" s="4" t="n">
        <f aca="false">IF(F65&gt;50,0.2,0.1)*G65</f>
        <v>0.3</v>
      </c>
      <c r="I65" s="2" t="s">
        <v>31</v>
      </c>
      <c r="J65" s="2" t="s">
        <v>32</v>
      </c>
      <c r="K65" s="2" t="s">
        <v>24</v>
      </c>
    </row>
    <row r="66" customFormat="false" ht="15" hidden="false" customHeight="false" outlineLevel="0" collapsed="false">
      <c r="A66" s="2" t="s">
        <v>47</v>
      </c>
      <c r="B66" s="3" t="n">
        <v>1065</v>
      </c>
      <c r="C66" s="2" t="n">
        <v>2499</v>
      </c>
      <c r="D66" s="2" t="s">
        <v>21</v>
      </c>
      <c r="E66" s="4" t="n">
        <v>6.2</v>
      </c>
      <c r="F66" s="4" t="n">
        <v>9.2</v>
      </c>
      <c r="G66" s="4" t="n">
        <f aca="false">F66-E66</f>
        <v>3</v>
      </c>
      <c r="H66" s="4" t="n">
        <f aca="false">IF(F66&gt;50,0.2,0.1)*G66</f>
        <v>0.3</v>
      </c>
      <c r="I66" s="2" t="s">
        <v>22</v>
      </c>
      <c r="J66" s="2" t="s">
        <v>23</v>
      </c>
      <c r="K66" s="2" t="s">
        <v>15</v>
      </c>
    </row>
    <row r="67" customFormat="false" ht="15" hidden="false" customHeight="false" outlineLevel="0" collapsed="false">
      <c r="A67" s="2" t="s">
        <v>47</v>
      </c>
      <c r="B67" s="3" t="n">
        <v>1066</v>
      </c>
      <c r="C67" s="2" t="n">
        <v>2877</v>
      </c>
      <c r="D67" s="2" t="s">
        <v>16</v>
      </c>
      <c r="E67" s="4" t="n">
        <v>11.4</v>
      </c>
      <c r="F67" s="4" t="n">
        <v>16.3</v>
      </c>
      <c r="G67" s="4" t="n">
        <f aca="false">F67-E67</f>
        <v>4.9</v>
      </c>
      <c r="H67" s="4" t="n">
        <f aca="false">IF(F67&gt;50,0.2,0.1)*G67</f>
        <v>0.49</v>
      </c>
      <c r="I67" s="2" t="s">
        <v>22</v>
      </c>
      <c r="J67" s="2" t="s">
        <v>23</v>
      </c>
      <c r="K67" s="2" t="s">
        <v>41</v>
      </c>
    </row>
    <row r="68" customFormat="false" ht="15" hidden="false" customHeight="false" outlineLevel="0" collapsed="false">
      <c r="A68" s="2" t="s">
        <v>47</v>
      </c>
      <c r="B68" s="3" t="n">
        <v>1067</v>
      </c>
      <c r="C68" s="2" t="n">
        <v>2877</v>
      </c>
      <c r="D68" s="2" t="s">
        <v>16</v>
      </c>
      <c r="E68" s="4" t="n">
        <v>11.4</v>
      </c>
      <c r="F68" s="4" t="n">
        <v>16.3</v>
      </c>
      <c r="G68" s="4" t="n">
        <f aca="false">F68-E68</f>
        <v>4.9</v>
      </c>
      <c r="H68" s="4" t="n">
        <f aca="false">IF(F68&gt;50,0.2,0.1)*G68</f>
        <v>0.49</v>
      </c>
      <c r="I68" s="2" t="s">
        <v>22</v>
      </c>
      <c r="J68" s="2" t="s">
        <v>23</v>
      </c>
      <c r="K68" s="2" t="s">
        <v>42</v>
      </c>
    </row>
    <row r="69" customFormat="false" ht="15" hidden="false" customHeight="false" outlineLevel="0" collapsed="false">
      <c r="A69" s="2" t="s">
        <v>47</v>
      </c>
      <c r="B69" s="3" t="n">
        <v>1068</v>
      </c>
      <c r="C69" s="2" t="n">
        <v>6119</v>
      </c>
      <c r="D69" s="2" t="s">
        <v>43</v>
      </c>
      <c r="E69" s="4" t="n">
        <v>9</v>
      </c>
      <c r="F69" s="4" t="n">
        <v>14</v>
      </c>
      <c r="G69" s="4" t="n">
        <f aca="false">F69-E69</f>
        <v>5</v>
      </c>
      <c r="H69" s="4" t="n">
        <f aca="false">IF(F69&gt;50,0.2,0.1)*G69</f>
        <v>0.5</v>
      </c>
      <c r="I69" s="2" t="s">
        <v>17</v>
      </c>
      <c r="J69" s="2" t="s">
        <v>18</v>
      </c>
      <c r="K69" s="2" t="s">
        <v>19</v>
      </c>
    </row>
    <row r="70" customFormat="false" ht="15" hidden="false" customHeight="false" outlineLevel="0" collapsed="false">
      <c r="A70" s="2" t="s">
        <v>47</v>
      </c>
      <c r="B70" s="3" t="n">
        <v>1069</v>
      </c>
      <c r="C70" s="2" t="n">
        <v>1109</v>
      </c>
      <c r="D70" s="2" t="s">
        <v>28</v>
      </c>
      <c r="E70" s="4" t="n">
        <v>3</v>
      </c>
      <c r="F70" s="4" t="n">
        <v>8</v>
      </c>
      <c r="G70" s="4" t="n">
        <f aca="false">F70-E70</f>
        <v>5</v>
      </c>
      <c r="H70" s="4" t="n">
        <f aca="false">IF(F70&gt;50,0.2,0.1)*G70</f>
        <v>0.5</v>
      </c>
      <c r="I70" s="2" t="s">
        <v>22</v>
      </c>
      <c r="J70" s="2" t="s">
        <v>23</v>
      </c>
      <c r="K70" s="2" t="s">
        <v>24</v>
      </c>
    </row>
    <row r="71" customFormat="false" ht="15" hidden="false" customHeight="false" outlineLevel="0" collapsed="false">
      <c r="A71" s="2" t="s">
        <v>47</v>
      </c>
      <c r="B71" s="3" t="n">
        <v>1070</v>
      </c>
      <c r="C71" s="2" t="n">
        <v>2499</v>
      </c>
      <c r="D71" s="2" t="s">
        <v>21</v>
      </c>
      <c r="E71" s="4" t="n">
        <v>6.2</v>
      </c>
      <c r="F71" s="4" t="n">
        <v>9.2</v>
      </c>
      <c r="G71" s="4" t="n">
        <f aca="false">F71-E71</f>
        <v>3</v>
      </c>
      <c r="H71" s="4" t="n">
        <f aca="false">IF(F71&gt;50,0.2,0.1)*G71</f>
        <v>0.3</v>
      </c>
      <c r="I71" s="2" t="s">
        <v>31</v>
      </c>
      <c r="J71" s="2" t="s">
        <v>32</v>
      </c>
      <c r="K71" s="2" t="s">
        <v>24</v>
      </c>
    </row>
    <row r="72" customFormat="false" ht="15" hidden="false" customHeight="false" outlineLevel="0" collapsed="false">
      <c r="A72" s="2" t="s">
        <v>47</v>
      </c>
      <c r="B72" s="3" t="n">
        <v>1071</v>
      </c>
      <c r="C72" s="2" t="n">
        <v>1109</v>
      </c>
      <c r="D72" s="2" t="s">
        <v>28</v>
      </c>
      <c r="E72" s="4" t="n">
        <v>3</v>
      </c>
      <c r="F72" s="4" t="n">
        <v>8</v>
      </c>
      <c r="G72" s="4" t="n">
        <f aca="false">F72-E72</f>
        <v>5</v>
      </c>
      <c r="H72" s="4" t="n">
        <f aca="false">IF(F72&gt;50,0.2,0.1)*G72</f>
        <v>0.5</v>
      </c>
      <c r="I72" s="2" t="s">
        <v>13</v>
      </c>
      <c r="J72" s="2" t="s">
        <v>14</v>
      </c>
      <c r="K72" s="2" t="s">
        <v>24</v>
      </c>
    </row>
    <row r="73" customFormat="false" ht="15" hidden="false" customHeight="false" outlineLevel="0" collapsed="false">
      <c r="A73" s="2" t="s">
        <v>47</v>
      </c>
      <c r="B73" s="3" t="n">
        <v>1072</v>
      </c>
      <c r="C73" s="2" t="n">
        <v>1109</v>
      </c>
      <c r="D73" s="2" t="s">
        <v>28</v>
      </c>
      <c r="E73" s="4" t="n">
        <v>3</v>
      </c>
      <c r="F73" s="4" t="n">
        <v>8</v>
      </c>
      <c r="G73" s="4" t="n">
        <f aca="false">F73-E73</f>
        <v>5</v>
      </c>
      <c r="H73" s="4" t="n">
        <f aca="false">IF(F73&gt;50,0.2,0.1)*G73</f>
        <v>0.5</v>
      </c>
      <c r="I73" s="2" t="s">
        <v>22</v>
      </c>
      <c r="J73" s="2" t="s">
        <v>23</v>
      </c>
      <c r="K73" s="2" t="s">
        <v>41</v>
      </c>
    </row>
    <row r="74" customFormat="false" ht="15" hidden="false" customHeight="false" outlineLevel="0" collapsed="false">
      <c r="A74" s="2" t="s">
        <v>47</v>
      </c>
      <c r="B74" s="3" t="n">
        <v>1073</v>
      </c>
      <c r="C74" s="2" t="n">
        <v>6622</v>
      </c>
      <c r="D74" s="2" t="s">
        <v>45</v>
      </c>
      <c r="E74" s="4" t="n">
        <v>42</v>
      </c>
      <c r="F74" s="4" t="n">
        <v>77</v>
      </c>
      <c r="G74" s="4" t="n">
        <f aca="false">F74-E74</f>
        <v>35</v>
      </c>
      <c r="H74" s="4" t="n">
        <f aca="false">IF(F74&gt;50,0.2,0.1)*G74</f>
        <v>7</v>
      </c>
      <c r="I74" s="2" t="s">
        <v>22</v>
      </c>
      <c r="J74" s="2" t="s">
        <v>23</v>
      </c>
      <c r="K74" s="2" t="s">
        <v>19</v>
      </c>
    </row>
    <row r="75" customFormat="false" ht="15" hidden="false" customHeight="false" outlineLevel="0" collapsed="false">
      <c r="A75" s="2" t="s">
        <v>47</v>
      </c>
      <c r="B75" s="3" t="n">
        <v>1074</v>
      </c>
      <c r="C75" s="2" t="n">
        <v>2877</v>
      </c>
      <c r="D75" s="2" t="s">
        <v>16</v>
      </c>
      <c r="E75" s="4" t="n">
        <v>11.4</v>
      </c>
      <c r="F75" s="4" t="n">
        <v>16.3</v>
      </c>
      <c r="G75" s="4" t="n">
        <f aca="false">F75-E75</f>
        <v>4.9</v>
      </c>
      <c r="H75" s="4" t="n">
        <f aca="false">IF(F75&gt;50,0.2,0.1)*G75</f>
        <v>0.49</v>
      </c>
      <c r="I75" s="2" t="s">
        <v>22</v>
      </c>
      <c r="J75" s="2" t="s">
        <v>23</v>
      </c>
      <c r="K75" s="2" t="s">
        <v>24</v>
      </c>
    </row>
    <row r="76" customFormat="false" ht="15" hidden="false" customHeight="false" outlineLevel="0" collapsed="false">
      <c r="A76" s="2" t="s">
        <v>47</v>
      </c>
      <c r="B76" s="3" t="n">
        <v>1075</v>
      </c>
      <c r="C76" s="2" t="n">
        <v>1109</v>
      </c>
      <c r="D76" s="2" t="s">
        <v>28</v>
      </c>
      <c r="E76" s="4" t="n">
        <v>3</v>
      </c>
      <c r="F76" s="4" t="n">
        <v>8</v>
      </c>
      <c r="G76" s="4" t="n">
        <f aca="false">F76-E76</f>
        <v>5</v>
      </c>
      <c r="H76" s="4" t="n">
        <f aca="false">IF(F76&gt;50,0.2,0.1)*G76</f>
        <v>0.5</v>
      </c>
      <c r="I76" s="2" t="s">
        <v>31</v>
      </c>
      <c r="J76" s="2" t="s">
        <v>32</v>
      </c>
      <c r="K76" s="2" t="s">
        <v>19</v>
      </c>
    </row>
    <row r="77" customFormat="false" ht="15" hidden="false" customHeight="false" outlineLevel="0" collapsed="false">
      <c r="A77" s="2" t="s">
        <v>47</v>
      </c>
      <c r="B77" s="3" t="n">
        <v>1076</v>
      </c>
      <c r="C77" s="2" t="n">
        <v>1109</v>
      </c>
      <c r="D77" s="2" t="s">
        <v>28</v>
      </c>
      <c r="E77" s="4" t="n">
        <v>3</v>
      </c>
      <c r="F77" s="4" t="n">
        <v>8</v>
      </c>
      <c r="G77" s="4" t="n">
        <f aca="false">F77-E77</f>
        <v>5</v>
      </c>
      <c r="H77" s="4" t="n">
        <f aca="false">IF(F77&gt;50,0.2,0.1)*G77</f>
        <v>0.5</v>
      </c>
      <c r="I77" s="2" t="s">
        <v>17</v>
      </c>
      <c r="J77" s="2" t="s">
        <v>18</v>
      </c>
      <c r="K77" s="2" t="s">
        <v>24</v>
      </c>
    </row>
    <row r="78" customFormat="false" ht="15" hidden="false" customHeight="false" outlineLevel="0" collapsed="false">
      <c r="A78" s="2" t="s">
        <v>47</v>
      </c>
      <c r="B78" s="3" t="n">
        <v>1077</v>
      </c>
      <c r="C78" s="2" t="n">
        <v>9822</v>
      </c>
      <c r="D78" s="2" t="s">
        <v>12</v>
      </c>
      <c r="E78" s="4" t="n">
        <v>58.3</v>
      </c>
      <c r="F78" s="4" t="n">
        <v>98.4</v>
      </c>
      <c r="G78" s="4" t="n">
        <f aca="false">F78-E78</f>
        <v>40.1</v>
      </c>
      <c r="H78" s="4" t="n">
        <f aca="false">IF(F78&gt;50,0.2,0.1)*G78</f>
        <v>8.02</v>
      </c>
      <c r="I78" s="2" t="s">
        <v>31</v>
      </c>
      <c r="J78" s="2" t="s">
        <v>32</v>
      </c>
      <c r="K78" s="2" t="s">
        <v>24</v>
      </c>
    </row>
    <row r="79" customFormat="false" ht="15" hidden="false" customHeight="false" outlineLevel="0" collapsed="false">
      <c r="A79" s="2" t="s">
        <v>47</v>
      </c>
      <c r="B79" s="3" t="n">
        <v>1078</v>
      </c>
      <c r="C79" s="2" t="n">
        <v>2877</v>
      </c>
      <c r="D79" s="2" t="s">
        <v>16</v>
      </c>
      <c r="E79" s="4" t="n">
        <v>11.4</v>
      </c>
      <c r="F79" s="4" t="n">
        <v>16.3</v>
      </c>
      <c r="G79" s="4" t="n">
        <f aca="false">F79-E79</f>
        <v>4.9</v>
      </c>
      <c r="H79" s="4" t="n">
        <f aca="false">IF(F79&gt;50,0.2,0.1)*G79</f>
        <v>0.49</v>
      </c>
      <c r="I79" s="2" t="s">
        <v>17</v>
      </c>
      <c r="J79" s="2" t="s">
        <v>18</v>
      </c>
      <c r="K79" s="2" t="s">
        <v>41</v>
      </c>
    </row>
    <row r="80" customFormat="false" ht="15" hidden="false" customHeight="false" outlineLevel="0" collapsed="false">
      <c r="A80" s="2" t="s">
        <v>48</v>
      </c>
      <c r="B80" s="3" t="n">
        <v>1079</v>
      </c>
      <c r="C80" s="2" t="n">
        <v>2877</v>
      </c>
      <c r="D80" s="2" t="s">
        <v>16</v>
      </c>
      <c r="E80" s="4" t="n">
        <v>11.4</v>
      </c>
      <c r="F80" s="4" t="n">
        <v>16.3</v>
      </c>
      <c r="G80" s="4" t="n">
        <f aca="false">F80-E80</f>
        <v>4.9</v>
      </c>
      <c r="H80" s="4" t="n">
        <f aca="false">IF(F80&gt;50,0.2,0.1)*G80</f>
        <v>0.49</v>
      </c>
      <c r="I80" s="2" t="s">
        <v>17</v>
      </c>
      <c r="J80" s="2" t="s">
        <v>18</v>
      </c>
      <c r="K80" s="2" t="s">
        <v>15</v>
      </c>
    </row>
    <row r="81" customFormat="false" ht="15" hidden="false" customHeight="false" outlineLevel="0" collapsed="false">
      <c r="A81" s="2" t="s">
        <v>48</v>
      </c>
      <c r="B81" s="3" t="n">
        <v>1080</v>
      </c>
      <c r="C81" s="2" t="n">
        <v>4421</v>
      </c>
      <c r="D81" s="2" t="s">
        <v>37</v>
      </c>
      <c r="E81" s="4" t="n">
        <v>45</v>
      </c>
      <c r="F81" s="4" t="n">
        <v>87</v>
      </c>
      <c r="G81" s="4" t="n">
        <f aca="false">F81-E81</f>
        <v>42</v>
      </c>
      <c r="H81" s="4" t="n">
        <f aca="false">IF(F81&gt;50,0.2,0.1)*G81</f>
        <v>8.4</v>
      </c>
      <c r="I81" s="2" t="s">
        <v>22</v>
      </c>
      <c r="J81" s="2" t="s">
        <v>23</v>
      </c>
      <c r="K81" s="2" t="s">
        <v>19</v>
      </c>
    </row>
    <row r="82" customFormat="false" ht="15" hidden="false" customHeight="false" outlineLevel="0" collapsed="false">
      <c r="A82" s="2" t="s">
        <v>48</v>
      </c>
      <c r="B82" s="3" t="n">
        <v>1081</v>
      </c>
      <c r="C82" s="2" t="n">
        <v>6119</v>
      </c>
      <c r="D82" s="2" t="s">
        <v>43</v>
      </c>
      <c r="E82" s="4" t="n">
        <v>9</v>
      </c>
      <c r="F82" s="4" t="n">
        <v>14</v>
      </c>
      <c r="G82" s="4" t="n">
        <f aca="false">F82-E82</f>
        <v>5</v>
      </c>
      <c r="H82" s="4" t="n">
        <f aca="false">IF(F82&gt;50,0.2,0.1)*G82</f>
        <v>0.5</v>
      </c>
      <c r="I82" s="2" t="s">
        <v>22</v>
      </c>
      <c r="J82" s="2" t="s">
        <v>23</v>
      </c>
      <c r="K82" s="2" t="s">
        <v>42</v>
      </c>
    </row>
    <row r="83" customFormat="false" ht="15" hidden="false" customHeight="false" outlineLevel="0" collapsed="false">
      <c r="A83" s="2" t="s">
        <v>48</v>
      </c>
      <c r="B83" s="3" t="n">
        <v>1082</v>
      </c>
      <c r="C83" s="2" t="n">
        <v>1109</v>
      </c>
      <c r="D83" s="2" t="s">
        <v>28</v>
      </c>
      <c r="E83" s="4" t="n">
        <v>3</v>
      </c>
      <c r="F83" s="4" t="n">
        <v>8</v>
      </c>
      <c r="G83" s="4" t="n">
        <f aca="false">F83-E83</f>
        <v>5</v>
      </c>
      <c r="H83" s="4" t="n">
        <f aca="false">IF(F83&gt;50,0.2,0.1)*G83</f>
        <v>0.5</v>
      </c>
      <c r="I83" s="2" t="s">
        <v>13</v>
      </c>
      <c r="J83" s="2" t="s">
        <v>14</v>
      </c>
      <c r="K83" s="2" t="s">
        <v>19</v>
      </c>
    </row>
    <row r="84" customFormat="false" ht="15" hidden="false" customHeight="false" outlineLevel="0" collapsed="false">
      <c r="A84" s="2" t="s">
        <v>48</v>
      </c>
      <c r="B84" s="3" t="n">
        <v>1083</v>
      </c>
      <c r="C84" s="2" t="n">
        <v>1109</v>
      </c>
      <c r="D84" s="2" t="s">
        <v>28</v>
      </c>
      <c r="E84" s="4" t="n">
        <v>3</v>
      </c>
      <c r="F84" s="4" t="n">
        <v>8</v>
      </c>
      <c r="G84" s="4" t="n">
        <f aca="false">F84-E84</f>
        <v>5</v>
      </c>
      <c r="H84" s="4" t="n">
        <f aca="false">IF(F84&gt;50,0.2,0.1)*G84</f>
        <v>0.5</v>
      </c>
      <c r="I84" s="2" t="s">
        <v>13</v>
      </c>
      <c r="J84" s="2" t="s">
        <v>14</v>
      </c>
      <c r="K84" s="2" t="s">
        <v>41</v>
      </c>
    </row>
    <row r="85" customFormat="false" ht="15" hidden="false" customHeight="false" outlineLevel="0" collapsed="false">
      <c r="A85" s="2" t="s">
        <v>48</v>
      </c>
      <c r="B85" s="3" t="n">
        <v>1084</v>
      </c>
      <c r="C85" s="2" t="n">
        <v>6119</v>
      </c>
      <c r="D85" s="2" t="s">
        <v>43</v>
      </c>
      <c r="E85" s="4" t="n">
        <v>9</v>
      </c>
      <c r="F85" s="4" t="n">
        <v>14</v>
      </c>
      <c r="G85" s="4" t="n">
        <f aca="false">F85-E85</f>
        <v>5</v>
      </c>
      <c r="H85" s="4" t="n">
        <f aca="false">IF(F85&gt;50,0.2,0.1)*G85</f>
        <v>0.5</v>
      </c>
      <c r="I85" s="2" t="s">
        <v>13</v>
      </c>
      <c r="J85" s="2" t="s">
        <v>14</v>
      </c>
      <c r="K85" s="2" t="s">
        <v>24</v>
      </c>
    </row>
    <row r="86" customFormat="false" ht="15" hidden="false" customHeight="false" outlineLevel="0" collapsed="false">
      <c r="A86" s="2" t="s">
        <v>48</v>
      </c>
      <c r="B86" s="3" t="n">
        <v>1085</v>
      </c>
      <c r="C86" s="2" t="n">
        <v>9822</v>
      </c>
      <c r="D86" s="2" t="s">
        <v>12</v>
      </c>
      <c r="E86" s="4" t="n">
        <v>58.3</v>
      </c>
      <c r="F86" s="4" t="n">
        <v>98.4</v>
      </c>
      <c r="G86" s="4" t="n">
        <f aca="false">F86-E86</f>
        <v>40.1</v>
      </c>
      <c r="H86" s="4" t="n">
        <f aca="false">IF(F86&gt;50,0.2,0.1)*G86</f>
        <v>8.02</v>
      </c>
      <c r="I86" s="2" t="s">
        <v>22</v>
      </c>
      <c r="J86" s="2" t="s">
        <v>23</v>
      </c>
      <c r="K86" s="2" t="s">
        <v>41</v>
      </c>
    </row>
    <row r="87" customFormat="false" ht="15" hidden="false" customHeight="false" outlineLevel="0" collapsed="false">
      <c r="A87" s="2" t="s">
        <v>48</v>
      </c>
      <c r="B87" s="3" t="n">
        <v>1086</v>
      </c>
      <c r="C87" s="2" t="n">
        <v>1109</v>
      </c>
      <c r="D87" s="2" t="s">
        <v>28</v>
      </c>
      <c r="E87" s="4" t="n">
        <v>3</v>
      </c>
      <c r="F87" s="4" t="n">
        <v>8</v>
      </c>
      <c r="G87" s="4" t="n">
        <f aca="false">F87-E87</f>
        <v>5</v>
      </c>
      <c r="H87" s="4" t="n">
        <f aca="false">IF(F87&gt;50,0.2,0.1)*G87</f>
        <v>0.5</v>
      </c>
      <c r="I87" s="2" t="s">
        <v>31</v>
      </c>
      <c r="J87" s="2" t="s">
        <v>32</v>
      </c>
      <c r="K87" s="2" t="s">
        <v>24</v>
      </c>
    </row>
    <row r="88" customFormat="false" ht="15" hidden="false" customHeight="false" outlineLevel="0" collapsed="false">
      <c r="A88" s="2" t="s">
        <v>48</v>
      </c>
      <c r="B88" s="3" t="n">
        <v>1087</v>
      </c>
      <c r="C88" s="2" t="n">
        <v>2499</v>
      </c>
      <c r="D88" s="2" t="s">
        <v>21</v>
      </c>
      <c r="E88" s="4" t="n">
        <v>6.2</v>
      </c>
      <c r="F88" s="4" t="n">
        <v>9.2</v>
      </c>
      <c r="G88" s="4" t="n">
        <f aca="false">F88-E88</f>
        <v>3</v>
      </c>
      <c r="H88" s="4" t="n">
        <f aca="false">IF(F88&gt;50,0.2,0.1)*G88</f>
        <v>0.3</v>
      </c>
      <c r="I88" s="2" t="s">
        <v>13</v>
      </c>
      <c r="J88" s="2" t="s">
        <v>14</v>
      </c>
      <c r="K88" s="2" t="s">
        <v>19</v>
      </c>
    </row>
    <row r="89" customFormat="false" ht="15" hidden="false" customHeight="false" outlineLevel="0" collapsed="false">
      <c r="A89" s="2" t="s">
        <v>48</v>
      </c>
      <c r="B89" s="3" t="n">
        <v>1088</v>
      </c>
      <c r="C89" s="2" t="n">
        <v>2499</v>
      </c>
      <c r="D89" s="2" t="s">
        <v>21</v>
      </c>
      <c r="E89" s="4" t="n">
        <v>6.2</v>
      </c>
      <c r="F89" s="4" t="n">
        <v>9.2</v>
      </c>
      <c r="G89" s="4" t="n">
        <f aca="false">F89-E89</f>
        <v>3</v>
      </c>
      <c r="H89" s="4" t="n">
        <f aca="false">IF(F89&gt;50,0.2,0.1)*G89</f>
        <v>0.3</v>
      </c>
      <c r="I89" s="2" t="s">
        <v>13</v>
      </c>
      <c r="J89" s="2" t="s">
        <v>14</v>
      </c>
      <c r="K89" s="2" t="s">
        <v>15</v>
      </c>
    </row>
    <row r="90" customFormat="false" ht="15" hidden="false" customHeight="false" outlineLevel="0" collapsed="false">
      <c r="A90" s="2" t="s">
        <v>48</v>
      </c>
      <c r="B90" s="3" t="n">
        <v>1089</v>
      </c>
      <c r="C90" s="2" t="n">
        <v>6119</v>
      </c>
      <c r="D90" s="2" t="s">
        <v>43</v>
      </c>
      <c r="E90" s="4" t="n">
        <v>9</v>
      </c>
      <c r="F90" s="4" t="n">
        <v>14</v>
      </c>
      <c r="G90" s="4" t="n">
        <f aca="false">F90-E90</f>
        <v>5</v>
      </c>
      <c r="H90" s="4" t="n">
        <f aca="false">IF(F90&gt;50,0.2,0.1)*G90</f>
        <v>0.5</v>
      </c>
      <c r="I90" s="2" t="s">
        <v>22</v>
      </c>
      <c r="J90" s="2" t="s">
        <v>23</v>
      </c>
      <c r="K90" s="2" t="s">
        <v>41</v>
      </c>
    </row>
    <row r="91" customFormat="false" ht="15" hidden="false" customHeight="false" outlineLevel="0" collapsed="false">
      <c r="A91" s="2" t="s">
        <v>48</v>
      </c>
      <c r="B91" s="3" t="n">
        <v>1090</v>
      </c>
      <c r="C91" s="2" t="n">
        <v>2877</v>
      </c>
      <c r="D91" s="2" t="s">
        <v>16</v>
      </c>
      <c r="E91" s="4" t="n">
        <v>11.4</v>
      </c>
      <c r="F91" s="4" t="n">
        <v>16.3</v>
      </c>
      <c r="G91" s="4" t="n">
        <f aca="false">F91-E91</f>
        <v>4.9</v>
      </c>
      <c r="H91" s="4" t="n">
        <f aca="false">IF(F91&gt;50,0.2,0.1)*G91</f>
        <v>0.49</v>
      </c>
      <c r="I91" s="2" t="s">
        <v>13</v>
      </c>
      <c r="J91" s="2" t="s">
        <v>14</v>
      </c>
      <c r="K91" s="2" t="s">
        <v>19</v>
      </c>
    </row>
    <row r="92" customFormat="false" ht="15" hidden="false" customHeight="false" outlineLevel="0" collapsed="false">
      <c r="A92" s="2" t="s">
        <v>48</v>
      </c>
      <c r="B92" s="3" t="n">
        <v>1091</v>
      </c>
      <c r="C92" s="2" t="n">
        <v>2877</v>
      </c>
      <c r="D92" s="2" t="s">
        <v>16</v>
      </c>
      <c r="E92" s="4" t="n">
        <v>11.4</v>
      </c>
      <c r="F92" s="4" t="n">
        <v>16.3</v>
      </c>
      <c r="G92" s="4" t="n">
        <f aca="false">F92-E92</f>
        <v>4.9</v>
      </c>
      <c r="H92" s="4" t="n">
        <f aca="false">IF(F92&gt;50,0.2,0.1)*G92</f>
        <v>0.49</v>
      </c>
      <c r="I92" s="2" t="s">
        <v>31</v>
      </c>
      <c r="J92" s="2" t="s">
        <v>32</v>
      </c>
      <c r="K92" s="2" t="s">
        <v>41</v>
      </c>
    </row>
    <row r="93" customFormat="false" ht="15" hidden="false" customHeight="false" outlineLevel="0" collapsed="false">
      <c r="A93" s="2" t="s">
        <v>48</v>
      </c>
      <c r="B93" s="3" t="n">
        <v>1092</v>
      </c>
      <c r="C93" s="2" t="n">
        <v>2877</v>
      </c>
      <c r="D93" s="2" t="s">
        <v>16</v>
      </c>
      <c r="E93" s="4" t="n">
        <v>11.4</v>
      </c>
      <c r="F93" s="4" t="n">
        <v>16.3</v>
      </c>
      <c r="G93" s="4" t="n">
        <f aca="false">F93-E93</f>
        <v>4.9</v>
      </c>
      <c r="H93" s="4" t="n">
        <f aca="false">IF(F93&gt;50,0.2,0.1)*G93</f>
        <v>0.49</v>
      </c>
      <c r="I93" s="2" t="s">
        <v>22</v>
      </c>
      <c r="J93" s="2" t="s">
        <v>23</v>
      </c>
      <c r="K93" s="2" t="s">
        <v>19</v>
      </c>
    </row>
    <row r="94" customFormat="false" ht="15" hidden="false" customHeight="false" outlineLevel="0" collapsed="false">
      <c r="A94" s="2" t="s">
        <v>48</v>
      </c>
      <c r="B94" s="3" t="n">
        <v>1093</v>
      </c>
      <c r="C94" s="2" t="n">
        <v>6119</v>
      </c>
      <c r="D94" s="2" t="s">
        <v>43</v>
      </c>
      <c r="E94" s="4" t="n">
        <v>9</v>
      </c>
      <c r="F94" s="4" t="n">
        <v>14</v>
      </c>
      <c r="G94" s="4" t="n">
        <f aca="false">F94-E94</f>
        <v>5</v>
      </c>
      <c r="H94" s="4" t="n">
        <f aca="false">IF(F94&gt;50,0.2,0.1)*G94</f>
        <v>0.5</v>
      </c>
      <c r="I94" s="2" t="s">
        <v>17</v>
      </c>
      <c r="J94" s="2" t="s">
        <v>18</v>
      </c>
      <c r="K94" s="2" t="s">
        <v>24</v>
      </c>
    </row>
    <row r="95" customFormat="false" ht="15" hidden="false" customHeight="false" outlineLevel="0" collapsed="false">
      <c r="A95" s="2" t="s">
        <v>48</v>
      </c>
      <c r="B95" s="3" t="n">
        <v>1094</v>
      </c>
      <c r="C95" s="2" t="n">
        <v>6119</v>
      </c>
      <c r="D95" s="2" t="s">
        <v>43</v>
      </c>
      <c r="E95" s="4" t="n">
        <v>9</v>
      </c>
      <c r="F95" s="4" t="n">
        <v>14</v>
      </c>
      <c r="G95" s="4" t="n">
        <f aca="false">F95-E95</f>
        <v>5</v>
      </c>
      <c r="H95" s="4" t="n">
        <f aca="false">IF(F95&gt;50,0.2,0.1)*G95</f>
        <v>0.5</v>
      </c>
      <c r="I95" s="2" t="s">
        <v>22</v>
      </c>
      <c r="J95" s="2" t="s">
        <v>23</v>
      </c>
      <c r="K95" s="2" t="s">
        <v>19</v>
      </c>
    </row>
    <row r="96" customFormat="false" ht="15" hidden="false" customHeight="false" outlineLevel="0" collapsed="false">
      <c r="A96" s="2" t="s">
        <v>48</v>
      </c>
      <c r="B96" s="3" t="n">
        <v>1095</v>
      </c>
      <c r="C96" s="2" t="n">
        <v>2499</v>
      </c>
      <c r="D96" s="2" t="s">
        <v>21</v>
      </c>
      <c r="E96" s="4" t="n">
        <v>6.2</v>
      </c>
      <c r="F96" s="4" t="n">
        <v>9.2</v>
      </c>
      <c r="G96" s="4" t="n">
        <f aca="false">F96-E96</f>
        <v>3</v>
      </c>
      <c r="H96" s="4" t="n">
        <f aca="false">IF(F96&gt;50,0.2,0.1)*G96</f>
        <v>0.3</v>
      </c>
      <c r="I96" s="2" t="s">
        <v>31</v>
      </c>
      <c r="J96" s="2" t="s">
        <v>32</v>
      </c>
      <c r="K96" s="2" t="s">
        <v>24</v>
      </c>
    </row>
    <row r="97" customFormat="false" ht="15" hidden="false" customHeight="false" outlineLevel="0" collapsed="false">
      <c r="A97" s="2" t="s">
        <v>48</v>
      </c>
      <c r="B97" s="3" t="n">
        <v>1096</v>
      </c>
      <c r="C97" s="2" t="n">
        <v>6119</v>
      </c>
      <c r="D97" s="2" t="s">
        <v>43</v>
      </c>
      <c r="E97" s="4" t="n">
        <v>9</v>
      </c>
      <c r="F97" s="4" t="n">
        <v>14</v>
      </c>
      <c r="G97" s="4" t="n">
        <f aca="false">F97-E97</f>
        <v>5</v>
      </c>
      <c r="H97" s="4" t="n">
        <f aca="false">IF(F97&gt;50,0.2,0.1)*G97</f>
        <v>0.5</v>
      </c>
      <c r="I97" s="2" t="s">
        <v>22</v>
      </c>
      <c r="J97" s="2" t="s">
        <v>23</v>
      </c>
      <c r="K97" s="2" t="s">
        <v>24</v>
      </c>
    </row>
    <row r="98" customFormat="false" ht="15" hidden="false" customHeight="false" outlineLevel="0" collapsed="false">
      <c r="A98" s="2" t="s">
        <v>48</v>
      </c>
      <c r="B98" s="3" t="n">
        <v>1097</v>
      </c>
      <c r="C98" s="2" t="n">
        <v>9212</v>
      </c>
      <c r="D98" s="2" t="s">
        <v>38</v>
      </c>
      <c r="E98" s="4" t="n">
        <v>4</v>
      </c>
      <c r="F98" s="4" t="n">
        <v>7</v>
      </c>
      <c r="G98" s="4" t="n">
        <f aca="false">F98-E98</f>
        <v>3</v>
      </c>
      <c r="H98" s="4" t="n">
        <f aca="false">IF(F98&gt;50,0.2,0.1)*G98</f>
        <v>0.3</v>
      </c>
      <c r="I98" s="2" t="s">
        <v>31</v>
      </c>
      <c r="J98" s="2" t="s">
        <v>32</v>
      </c>
      <c r="K98" s="2" t="s">
        <v>41</v>
      </c>
    </row>
    <row r="99" customFormat="false" ht="15" hidden="false" customHeight="false" outlineLevel="0" collapsed="false">
      <c r="A99" s="2" t="s">
        <v>48</v>
      </c>
      <c r="B99" s="3" t="n">
        <v>1098</v>
      </c>
      <c r="C99" s="2" t="n">
        <v>2877</v>
      </c>
      <c r="D99" s="2" t="s">
        <v>16</v>
      </c>
      <c r="E99" s="4" t="n">
        <v>11.4</v>
      </c>
      <c r="F99" s="4" t="n">
        <v>16.3</v>
      </c>
      <c r="G99" s="4" t="n">
        <f aca="false">F99-E99</f>
        <v>4.9</v>
      </c>
      <c r="H99" s="4" t="n">
        <f aca="false">IF(F99&gt;50,0.2,0.1)*G99</f>
        <v>0.49</v>
      </c>
      <c r="I99" s="2" t="s">
        <v>17</v>
      </c>
      <c r="J99" s="2" t="s">
        <v>18</v>
      </c>
      <c r="K99" s="2" t="s">
        <v>15</v>
      </c>
    </row>
    <row r="100" customFormat="false" ht="15" hidden="false" customHeight="false" outlineLevel="0" collapsed="false">
      <c r="A100" s="2" t="s">
        <v>49</v>
      </c>
      <c r="B100" s="3" t="n">
        <v>1099</v>
      </c>
      <c r="C100" s="2" t="n">
        <v>2877</v>
      </c>
      <c r="D100" s="2" t="s">
        <v>16</v>
      </c>
      <c r="E100" s="4" t="n">
        <v>11.4</v>
      </c>
      <c r="F100" s="4" t="n">
        <v>16.3</v>
      </c>
      <c r="G100" s="4" t="n">
        <f aca="false">F100-E100</f>
        <v>4.9</v>
      </c>
      <c r="H100" s="4" t="n">
        <f aca="false">IF(F100&gt;50,0.2,0.1)*G100</f>
        <v>0.49</v>
      </c>
      <c r="I100" s="2" t="s">
        <v>22</v>
      </c>
      <c r="J100" s="2" t="s">
        <v>23</v>
      </c>
      <c r="K100" s="2" t="s">
        <v>19</v>
      </c>
    </row>
    <row r="101" customFormat="false" ht="15" hidden="false" customHeight="false" outlineLevel="0" collapsed="false">
      <c r="A101" s="2" t="s">
        <v>49</v>
      </c>
      <c r="B101" s="3" t="n">
        <v>1100</v>
      </c>
      <c r="C101" s="2" t="n">
        <v>6119</v>
      </c>
      <c r="D101" s="2" t="s">
        <v>43</v>
      </c>
      <c r="E101" s="4" t="n">
        <v>9</v>
      </c>
      <c r="F101" s="4" t="n">
        <v>14</v>
      </c>
      <c r="G101" s="4" t="n">
        <f aca="false">F101-E101</f>
        <v>5</v>
      </c>
      <c r="H101" s="4" t="n">
        <f aca="false">IF(F101&gt;50,0.2,0.1)*G101</f>
        <v>0.5</v>
      </c>
      <c r="I101" s="2" t="s">
        <v>13</v>
      </c>
      <c r="J101" s="2" t="s">
        <v>14</v>
      </c>
      <c r="K101" s="2" t="s">
        <v>42</v>
      </c>
    </row>
    <row r="102" customFormat="false" ht="15" hidden="false" customHeight="false" outlineLevel="0" collapsed="false">
      <c r="A102" s="2" t="s">
        <v>49</v>
      </c>
      <c r="B102" s="3" t="n">
        <v>1101</v>
      </c>
      <c r="C102" s="2" t="n">
        <v>2499</v>
      </c>
      <c r="D102" s="2" t="s">
        <v>21</v>
      </c>
      <c r="E102" s="4" t="n">
        <v>6.2</v>
      </c>
      <c r="F102" s="4" t="n">
        <v>9.2</v>
      </c>
      <c r="G102" s="4" t="n">
        <f aca="false">F102-E102</f>
        <v>3</v>
      </c>
      <c r="H102" s="4" t="n">
        <f aca="false">IF(F102&gt;50,0.2,0.1)*G102</f>
        <v>0.3</v>
      </c>
      <c r="I102" s="2" t="s">
        <v>22</v>
      </c>
      <c r="J102" s="2" t="s">
        <v>23</v>
      </c>
      <c r="K102" s="2" t="s">
        <v>19</v>
      </c>
    </row>
    <row r="103" customFormat="false" ht="15" hidden="false" customHeight="false" outlineLevel="0" collapsed="false">
      <c r="A103" s="2" t="s">
        <v>49</v>
      </c>
      <c r="B103" s="3" t="n">
        <v>1102</v>
      </c>
      <c r="C103" s="2" t="n">
        <v>2242</v>
      </c>
      <c r="D103" s="2" t="s">
        <v>40</v>
      </c>
      <c r="E103" s="4" t="n">
        <v>60</v>
      </c>
      <c r="F103" s="4" t="n">
        <v>124</v>
      </c>
      <c r="G103" s="4" t="n">
        <f aca="false">F103-E103</f>
        <v>64</v>
      </c>
      <c r="H103" s="4" t="n">
        <f aca="false">IF(F103&gt;50,0.2,0.1)*G103</f>
        <v>12.8</v>
      </c>
      <c r="I103" s="2" t="s">
        <v>17</v>
      </c>
      <c r="J103" s="2" t="s">
        <v>18</v>
      </c>
      <c r="K103" s="2" t="s">
        <v>41</v>
      </c>
    </row>
    <row r="104" customFormat="false" ht="15" hidden="false" customHeight="false" outlineLevel="0" collapsed="false">
      <c r="A104" s="2" t="s">
        <v>49</v>
      </c>
      <c r="B104" s="3" t="n">
        <v>1103</v>
      </c>
      <c r="C104" s="2" t="n">
        <v>2877</v>
      </c>
      <c r="D104" s="2" t="s">
        <v>16</v>
      </c>
      <c r="E104" s="4" t="n">
        <v>11.4</v>
      </c>
      <c r="F104" s="4" t="n">
        <v>16.3</v>
      </c>
      <c r="G104" s="4" t="n">
        <f aca="false">F104-E104</f>
        <v>4.9</v>
      </c>
      <c r="H104" s="4" t="n">
        <f aca="false">IF(F104&gt;50,0.2,0.1)*G104</f>
        <v>0.49</v>
      </c>
      <c r="I104" s="2" t="s">
        <v>17</v>
      </c>
      <c r="J104" s="2" t="s">
        <v>18</v>
      </c>
      <c r="K104" s="2" t="s">
        <v>24</v>
      </c>
    </row>
    <row r="105" customFormat="false" ht="15" hidden="false" customHeight="false" outlineLevel="0" collapsed="false">
      <c r="A105" s="2" t="s">
        <v>49</v>
      </c>
      <c r="B105" s="3" t="n">
        <v>1104</v>
      </c>
      <c r="C105" s="2" t="n">
        <v>2877</v>
      </c>
      <c r="D105" s="2" t="s">
        <v>16</v>
      </c>
      <c r="E105" s="4" t="n">
        <v>11.4</v>
      </c>
      <c r="F105" s="4" t="n">
        <v>16.3</v>
      </c>
      <c r="G105" s="4" t="n">
        <f aca="false">F105-E105</f>
        <v>4.9</v>
      </c>
      <c r="H105" s="4" t="n">
        <f aca="false">IF(F105&gt;50,0.2,0.1)*G105</f>
        <v>0.49</v>
      </c>
      <c r="I105" s="2" t="s">
        <v>22</v>
      </c>
      <c r="J105" s="2" t="s">
        <v>23</v>
      </c>
      <c r="K105" s="2" t="s">
        <v>41</v>
      </c>
    </row>
    <row r="106" customFormat="false" ht="15" hidden="false" customHeight="false" outlineLevel="0" collapsed="false">
      <c r="A106" s="2" t="s">
        <v>49</v>
      </c>
      <c r="B106" s="3" t="n">
        <v>1105</v>
      </c>
      <c r="C106" s="2" t="n">
        <v>2499</v>
      </c>
      <c r="D106" s="2" t="s">
        <v>21</v>
      </c>
      <c r="E106" s="4" t="n">
        <v>6.2</v>
      </c>
      <c r="F106" s="4" t="n">
        <v>9.2</v>
      </c>
      <c r="G106" s="4" t="n">
        <f aca="false">F106-E106</f>
        <v>3</v>
      </c>
      <c r="H106" s="4" t="n">
        <f aca="false">IF(F106&gt;50,0.2,0.1)*G106</f>
        <v>0.3</v>
      </c>
      <c r="I106" s="2" t="s">
        <v>17</v>
      </c>
      <c r="J106" s="2" t="s">
        <v>18</v>
      </c>
      <c r="K106" s="2" t="s">
        <v>24</v>
      </c>
    </row>
    <row r="107" customFormat="false" ht="15" hidden="false" customHeight="false" outlineLevel="0" collapsed="false">
      <c r="A107" s="2" t="s">
        <v>49</v>
      </c>
      <c r="B107" s="3" t="n">
        <v>1106</v>
      </c>
      <c r="C107" s="2" t="n">
        <v>9822</v>
      </c>
      <c r="D107" s="2" t="s">
        <v>12</v>
      </c>
      <c r="E107" s="4" t="n">
        <v>58.3</v>
      </c>
      <c r="F107" s="4" t="n">
        <v>98.4</v>
      </c>
      <c r="G107" s="4" t="n">
        <f aca="false">F107-E107</f>
        <v>40.1</v>
      </c>
      <c r="H107" s="4" t="n">
        <f aca="false">IF(F107&gt;50,0.2,0.1)*G107</f>
        <v>8.02</v>
      </c>
      <c r="I107" s="2" t="s">
        <v>17</v>
      </c>
      <c r="J107" s="2" t="s">
        <v>18</v>
      </c>
      <c r="K107" s="2" t="s">
        <v>19</v>
      </c>
    </row>
    <row r="108" customFormat="false" ht="15" hidden="false" customHeight="false" outlineLevel="0" collapsed="false">
      <c r="A108" s="2" t="s">
        <v>49</v>
      </c>
      <c r="B108" s="3" t="n">
        <v>1107</v>
      </c>
      <c r="C108" s="2" t="n">
        <v>1109</v>
      </c>
      <c r="D108" s="2" t="s">
        <v>28</v>
      </c>
      <c r="E108" s="4" t="n">
        <v>3</v>
      </c>
      <c r="F108" s="4" t="n">
        <v>8</v>
      </c>
      <c r="G108" s="4" t="n">
        <f aca="false">F108-E108</f>
        <v>5</v>
      </c>
      <c r="H108" s="4" t="n">
        <f aca="false">IF(F108&gt;50,0.2,0.1)*G108</f>
        <v>0.5</v>
      </c>
      <c r="I108" s="2" t="s">
        <v>31</v>
      </c>
      <c r="J108" s="2" t="s">
        <v>32</v>
      </c>
      <c r="K108" s="2" t="s">
        <v>15</v>
      </c>
    </row>
    <row r="109" customFormat="false" ht="15" hidden="false" customHeight="false" outlineLevel="0" collapsed="false">
      <c r="A109" s="2" t="s">
        <v>49</v>
      </c>
      <c r="B109" s="3" t="n">
        <v>1108</v>
      </c>
      <c r="C109" s="2" t="n">
        <v>9822</v>
      </c>
      <c r="D109" s="2" t="s">
        <v>12</v>
      </c>
      <c r="E109" s="4" t="n">
        <v>58.3</v>
      </c>
      <c r="F109" s="4" t="n">
        <v>98.4</v>
      </c>
      <c r="G109" s="4" t="n">
        <f aca="false">F109-E109</f>
        <v>40.1</v>
      </c>
      <c r="H109" s="4" t="n">
        <f aca="false">IF(F109&gt;50,0.2,0.1)*G109</f>
        <v>8.02</v>
      </c>
      <c r="I109" s="2" t="s">
        <v>22</v>
      </c>
      <c r="J109" s="2" t="s">
        <v>23</v>
      </c>
      <c r="K109" s="2" t="s">
        <v>41</v>
      </c>
    </row>
    <row r="110" customFormat="false" ht="15" hidden="false" customHeight="false" outlineLevel="0" collapsed="false">
      <c r="A110" s="2" t="s">
        <v>49</v>
      </c>
      <c r="B110" s="3" t="n">
        <v>1109</v>
      </c>
      <c r="C110" s="2" t="n">
        <v>8722</v>
      </c>
      <c r="D110" s="2" t="s">
        <v>26</v>
      </c>
      <c r="E110" s="4" t="n">
        <v>344</v>
      </c>
      <c r="F110" s="4" t="n">
        <v>502</v>
      </c>
      <c r="G110" s="4" t="n">
        <f aca="false">F110-E110</f>
        <v>158</v>
      </c>
      <c r="H110" s="4" t="n">
        <f aca="false">IF(F110&gt;50,0.2,0.1)*G110</f>
        <v>31.6</v>
      </c>
      <c r="I110" s="2" t="s">
        <v>17</v>
      </c>
      <c r="J110" s="2" t="s">
        <v>18</v>
      </c>
      <c r="K110" s="2" t="s">
        <v>19</v>
      </c>
    </row>
    <row r="111" customFormat="false" ht="15" hidden="false" customHeight="false" outlineLevel="0" collapsed="false">
      <c r="A111" s="2" t="s">
        <v>49</v>
      </c>
      <c r="B111" s="3" t="n">
        <v>1110</v>
      </c>
      <c r="C111" s="2" t="n">
        <v>8722</v>
      </c>
      <c r="D111" s="2" t="s">
        <v>26</v>
      </c>
      <c r="E111" s="4" t="n">
        <v>344</v>
      </c>
      <c r="F111" s="4" t="n">
        <v>502</v>
      </c>
      <c r="G111" s="4" t="n">
        <f aca="false">F111-E111</f>
        <v>158</v>
      </c>
      <c r="H111" s="4" t="n">
        <f aca="false">IF(F111&gt;50,0.2,0.1)*G111</f>
        <v>31.6</v>
      </c>
      <c r="I111" s="2" t="s">
        <v>31</v>
      </c>
      <c r="J111" s="2" t="s">
        <v>32</v>
      </c>
      <c r="K111" s="2" t="s">
        <v>41</v>
      </c>
    </row>
    <row r="112" customFormat="false" ht="15" hidden="false" customHeight="false" outlineLevel="0" collapsed="false">
      <c r="A112" s="2" t="s">
        <v>49</v>
      </c>
      <c r="B112" s="3" t="n">
        <v>1111</v>
      </c>
      <c r="C112" s="2" t="n">
        <v>6622</v>
      </c>
      <c r="D112" s="2" t="s">
        <v>45</v>
      </c>
      <c r="E112" s="4" t="n">
        <v>42</v>
      </c>
      <c r="F112" s="4" t="n">
        <v>77</v>
      </c>
      <c r="G112" s="4" t="n">
        <f aca="false">F112-E112</f>
        <v>35</v>
      </c>
      <c r="H112" s="4" t="n">
        <f aca="false">IF(F112&gt;50,0.2,0.1)*G112</f>
        <v>7</v>
      </c>
      <c r="I112" s="2" t="s">
        <v>31</v>
      </c>
      <c r="J112" s="2" t="s">
        <v>32</v>
      </c>
      <c r="K112" s="2" t="s">
        <v>19</v>
      </c>
    </row>
    <row r="113" customFormat="false" ht="15" hidden="false" customHeight="false" outlineLevel="0" collapsed="false">
      <c r="A113" s="2" t="s">
        <v>49</v>
      </c>
      <c r="B113" s="3" t="n">
        <v>1112</v>
      </c>
      <c r="C113" s="2" t="n">
        <v>6622</v>
      </c>
      <c r="D113" s="2" t="s">
        <v>45</v>
      </c>
      <c r="E113" s="4" t="n">
        <v>42</v>
      </c>
      <c r="F113" s="4" t="n">
        <v>77</v>
      </c>
      <c r="G113" s="4" t="n">
        <f aca="false">F113-E113</f>
        <v>35</v>
      </c>
      <c r="H113" s="4" t="n">
        <f aca="false">IF(F113&gt;50,0.2,0.1)*G113</f>
        <v>7</v>
      </c>
      <c r="I113" s="2" t="s">
        <v>22</v>
      </c>
      <c r="J113" s="2" t="s">
        <v>23</v>
      </c>
      <c r="K113" s="2" t="s">
        <v>24</v>
      </c>
    </row>
    <row r="114" customFormat="false" ht="15" hidden="false" customHeight="false" outlineLevel="0" collapsed="false">
      <c r="A114" s="2" t="s">
        <v>49</v>
      </c>
      <c r="B114" s="3" t="n">
        <v>1113</v>
      </c>
      <c r="C114" s="2" t="n">
        <v>9822</v>
      </c>
      <c r="D114" s="2" t="s">
        <v>12</v>
      </c>
      <c r="E114" s="4" t="n">
        <v>58.3</v>
      </c>
      <c r="F114" s="4" t="n">
        <v>98.4</v>
      </c>
      <c r="G114" s="4" t="n">
        <f aca="false">F114-E114</f>
        <v>40.1</v>
      </c>
      <c r="H114" s="4" t="n">
        <f aca="false">IF(F114&gt;50,0.2,0.1)*G114</f>
        <v>8.02</v>
      </c>
      <c r="I114" s="2" t="s">
        <v>13</v>
      </c>
      <c r="J114" s="2" t="s">
        <v>14</v>
      </c>
      <c r="K114" s="2" t="s">
        <v>19</v>
      </c>
    </row>
    <row r="115" customFormat="false" ht="15" hidden="false" customHeight="false" outlineLevel="0" collapsed="false">
      <c r="A115" s="2" t="s">
        <v>49</v>
      </c>
      <c r="B115" s="3" t="n">
        <v>1114</v>
      </c>
      <c r="C115" s="2" t="n">
        <v>2242</v>
      </c>
      <c r="D115" s="2" t="s">
        <v>40</v>
      </c>
      <c r="E115" s="4" t="n">
        <v>60</v>
      </c>
      <c r="F115" s="4" t="n">
        <v>124</v>
      </c>
      <c r="G115" s="4" t="n">
        <f aca="false">F115-E115</f>
        <v>64</v>
      </c>
      <c r="H115" s="4" t="n">
        <f aca="false">IF(F115&gt;50,0.2,0.1)*G115</f>
        <v>12.8</v>
      </c>
      <c r="I115" s="2" t="s">
        <v>17</v>
      </c>
      <c r="J115" s="2" t="s">
        <v>18</v>
      </c>
      <c r="K115" s="2" t="s">
        <v>24</v>
      </c>
    </row>
    <row r="116" customFormat="false" ht="15" hidden="false" customHeight="false" outlineLevel="0" collapsed="false">
      <c r="A116" s="2" t="s">
        <v>49</v>
      </c>
      <c r="B116" s="3" t="n">
        <v>1115</v>
      </c>
      <c r="C116" s="2" t="n">
        <v>8722</v>
      </c>
      <c r="D116" s="2" t="s">
        <v>26</v>
      </c>
      <c r="E116" s="4" t="n">
        <v>344</v>
      </c>
      <c r="F116" s="4" t="n">
        <v>502</v>
      </c>
      <c r="G116" s="4" t="n">
        <f aca="false">F116-E116</f>
        <v>158</v>
      </c>
      <c r="H116" s="4" t="n">
        <f aca="false">IF(F116&gt;50,0.2,0.1)*G116</f>
        <v>31.6</v>
      </c>
      <c r="I116" s="2" t="s">
        <v>13</v>
      </c>
      <c r="J116" s="2" t="s">
        <v>14</v>
      </c>
      <c r="K116" s="2" t="s">
        <v>24</v>
      </c>
    </row>
    <row r="117" customFormat="false" ht="15" hidden="false" customHeight="false" outlineLevel="0" collapsed="false">
      <c r="A117" s="2" t="s">
        <v>49</v>
      </c>
      <c r="B117" s="3" t="n">
        <v>1116</v>
      </c>
      <c r="C117" s="2" t="n">
        <v>6622</v>
      </c>
      <c r="D117" s="2" t="s">
        <v>45</v>
      </c>
      <c r="E117" s="4" t="n">
        <v>42</v>
      </c>
      <c r="F117" s="4" t="n">
        <v>77</v>
      </c>
      <c r="G117" s="4" t="n">
        <f aca="false">F117-E117</f>
        <v>35</v>
      </c>
      <c r="H117" s="4" t="n">
        <f aca="false">IF(F117&gt;50,0.2,0.1)*G117</f>
        <v>7</v>
      </c>
      <c r="I117" s="2" t="s">
        <v>22</v>
      </c>
      <c r="J117" s="2" t="s">
        <v>23</v>
      </c>
      <c r="K117" s="2" t="s">
        <v>41</v>
      </c>
    </row>
    <row r="118" customFormat="false" ht="15" hidden="false" customHeight="false" outlineLevel="0" collapsed="false">
      <c r="A118" s="2" t="s">
        <v>49</v>
      </c>
      <c r="B118" s="3" t="n">
        <v>1117</v>
      </c>
      <c r="C118" s="2" t="n">
        <v>8722</v>
      </c>
      <c r="D118" s="2" t="s">
        <v>26</v>
      </c>
      <c r="E118" s="4" t="n">
        <v>344</v>
      </c>
      <c r="F118" s="4" t="n">
        <v>502</v>
      </c>
      <c r="G118" s="4" t="n">
        <f aca="false">F118-E118</f>
        <v>158</v>
      </c>
      <c r="H118" s="4" t="n">
        <f aca="false">IF(F118&gt;50,0.2,0.1)*G118</f>
        <v>31.6</v>
      </c>
      <c r="I118" s="2" t="s">
        <v>31</v>
      </c>
      <c r="J118" s="2" t="s">
        <v>32</v>
      </c>
      <c r="K118" s="2" t="s">
        <v>15</v>
      </c>
    </row>
    <row r="119" customFormat="false" ht="15" hidden="false" customHeight="false" outlineLevel="0" collapsed="false">
      <c r="A119" s="6" t="s">
        <v>49</v>
      </c>
      <c r="B119" s="7" t="n">
        <v>1118</v>
      </c>
      <c r="C119" s="6" t="n">
        <v>2242</v>
      </c>
      <c r="D119" s="6" t="s">
        <v>40</v>
      </c>
      <c r="E119" s="8" t="n">
        <v>60</v>
      </c>
      <c r="F119" s="8" t="n">
        <v>124</v>
      </c>
      <c r="G119" s="8" t="n">
        <f aca="false">F119-E119</f>
        <v>64</v>
      </c>
      <c r="H119" s="8" t="n">
        <f aca="false">IF(F119&gt;50,0.2,0.1)*G119</f>
        <v>12.8</v>
      </c>
      <c r="I119" s="6" t="s">
        <v>13</v>
      </c>
      <c r="J119" s="6" t="s">
        <v>14</v>
      </c>
      <c r="K119" s="6" t="s">
        <v>24</v>
      </c>
    </row>
    <row r="120" customFormat="false" ht="15" hidden="false" customHeight="false" outlineLevel="0" collapsed="false">
      <c r="A120" s="6" t="s">
        <v>49</v>
      </c>
      <c r="B120" s="7" t="n">
        <v>1119</v>
      </c>
      <c r="C120" s="6" t="n">
        <v>9822</v>
      </c>
      <c r="D120" s="6" t="s">
        <v>12</v>
      </c>
      <c r="E120" s="8" t="n">
        <v>58.3</v>
      </c>
      <c r="F120" s="8" t="n">
        <v>98.4</v>
      </c>
      <c r="G120" s="8" t="n">
        <f aca="false">F120-E120</f>
        <v>40.1</v>
      </c>
      <c r="H120" s="8" t="n">
        <f aca="false">IF(F120&gt;50,0.2,0.1)*G120</f>
        <v>8.02</v>
      </c>
      <c r="I120" s="6" t="s">
        <v>17</v>
      </c>
      <c r="J120" s="6" t="s">
        <v>18</v>
      </c>
      <c r="K120" s="6" t="s">
        <v>19</v>
      </c>
    </row>
    <row r="121" customFormat="false" ht="15" hidden="false" customHeight="false" outlineLevel="0" collapsed="false">
      <c r="A121" s="6" t="s">
        <v>49</v>
      </c>
      <c r="B121" s="7" t="n">
        <v>1120</v>
      </c>
      <c r="C121" s="6" t="n">
        <v>2242</v>
      </c>
      <c r="D121" s="6" t="s">
        <v>40</v>
      </c>
      <c r="E121" s="8" t="n">
        <v>60</v>
      </c>
      <c r="F121" s="8" t="n">
        <v>124</v>
      </c>
      <c r="G121" s="8" t="n">
        <f aca="false">F121-E121</f>
        <v>64</v>
      </c>
      <c r="H121" s="8" t="n">
        <f aca="false">IF(F121&gt;50,0.2,0.1)*G121</f>
        <v>12.8</v>
      </c>
      <c r="I121" s="6" t="s">
        <v>22</v>
      </c>
      <c r="J121" s="6" t="s">
        <v>23</v>
      </c>
      <c r="K121" s="6" t="s">
        <v>24</v>
      </c>
    </row>
    <row r="122" customFormat="false" ht="15" hidden="false" customHeight="false" outlineLevel="0" collapsed="false">
      <c r="A122" s="2" t="s">
        <v>49</v>
      </c>
      <c r="B122" s="3" t="n">
        <v>1121</v>
      </c>
      <c r="C122" s="2" t="n">
        <v>4421</v>
      </c>
      <c r="D122" s="2" t="s">
        <v>37</v>
      </c>
      <c r="E122" s="4" t="n">
        <v>45</v>
      </c>
      <c r="F122" s="4" t="n">
        <v>87</v>
      </c>
      <c r="G122" s="4" t="n">
        <f aca="false">F122-E122</f>
        <v>42</v>
      </c>
      <c r="H122" s="4" t="n">
        <f aca="false">IF(F122&gt;50,0.2,0.1)*G122</f>
        <v>8.4</v>
      </c>
      <c r="I122" s="2" t="s">
        <v>22</v>
      </c>
      <c r="J122" s="2" t="s">
        <v>23</v>
      </c>
      <c r="K122" s="2" t="s">
        <v>41</v>
      </c>
    </row>
    <row r="123" customFormat="false" ht="15" hidden="false" customHeight="false" outlineLevel="0" collapsed="false">
      <c r="A123" s="2" t="s">
        <v>49</v>
      </c>
      <c r="B123" s="3" t="n">
        <v>1122</v>
      </c>
      <c r="C123" s="2" t="n">
        <v>8722</v>
      </c>
      <c r="D123" s="2" t="s">
        <v>26</v>
      </c>
      <c r="E123" s="4" t="n">
        <v>344</v>
      </c>
      <c r="F123" s="4" t="n">
        <v>502</v>
      </c>
      <c r="G123" s="4" t="n">
        <f aca="false">F123-E123</f>
        <v>158</v>
      </c>
      <c r="H123" s="4" t="n">
        <f aca="false">IF(F123&gt;50,0.2,0.1)*G123</f>
        <v>31.6</v>
      </c>
      <c r="I123" s="2" t="s">
        <v>22</v>
      </c>
      <c r="J123" s="2" t="s">
        <v>23</v>
      </c>
      <c r="K123" s="2" t="s">
        <v>24</v>
      </c>
    </row>
    <row r="124" customFormat="false" ht="15" hidden="false" customHeight="false" outlineLevel="0" collapsed="false">
      <c r="A124" s="2" t="s">
        <v>49</v>
      </c>
      <c r="B124" s="3" t="n">
        <v>1123</v>
      </c>
      <c r="C124" s="2" t="n">
        <v>9822</v>
      </c>
      <c r="D124" s="2" t="s">
        <v>12</v>
      </c>
      <c r="E124" s="4" t="n">
        <v>58.3</v>
      </c>
      <c r="F124" s="4" t="n">
        <v>98.4</v>
      </c>
      <c r="G124" s="4" t="n">
        <f aca="false">F124-E124</f>
        <v>40.1</v>
      </c>
      <c r="H124" s="4" t="n">
        <f aca="false">IF(F124&gt;50,0.2,0.1)*G124</f>
        <v>8.02</v>
      </c>
      <c r="I124" s="2" t="s">
        <v>22</v>
      </c>
      <c r="J124" s="2" t="s">
        <v>23</v>
      </c>
      <c r="K124" s="2" t="s">
        <v>41</v>
      </c>
    </row>
    <row r="125" customFormat="false" ht="15" hidden="false" customHeight="false" outlineLevel="0" collapsed="false">
      <c r="A125" s="2" t="s">
        <v>49</v>
      </c>
      <c r="B125" s="3" t="n">
        <v>1124</v>
      </c>
      <c r="C125" s="2" t="n">
        <v>4421</v>
      </c>
      <c r="D125" s="2" t="s">
        <v>37</v>
      </c>
      <c r="E125" s="4" t="n">
        <v>45</v>
      </c>
      <c r="F125" s="4" t="n">
        <v>87</v>
      </c>
      <c r="G125" s="4" t="n">
        <f aca="false">F125-E125</f>
        <v>42</v>
      </c>
      <c r="H125" s="4" t="n">
        <f aca="false">IF(F125&gt;50,0.2,0.1)*G125</f>
        <v>8.4</v>
      </c>
      <c r="I125" s="2" t="s">
        <v>22</v>
      </c>
      <c r="J125" s="2" t="s">
        <v>23</v>
      </c>
      <c r="K125" s="2" t="s">
        <v>24</v>
      </c>
    </row>
    <row r="126" customFormat="false" ht="15" hidden="false" customHeight="false" outlineLevel="0" collapsed="false">
      <c r="A126" s="2" t="s">
        <v>50</v>
      </c>
      <c r="B126" s="3" t="n">
        <v>1125</v>
      </c>
      <c r="C126" s="2" t="n">
        <v>2242</v>
      </c>
      <c r="D126" s="2" t="s">
        <v>40</v>
      </c>
      <c r="E126" s="4" t="n">
        <v>60</v>
      </c>
      <c r="F126" s="4" t="n">
        <v>124</v>
      </c>
      <c r="G126" s="4" t="n">
        <f aca="false">F126-E126</f>
        <v>64</v>
      </c>
      <c r="H126" s="4" t="n">
        <f aca="false">IF(F126&gt;50,0.2,0.1)*G126</f>
        <v>12.8</v>
      </c>
      <c r="I126" s="2" t="s">
        <v>22</v>
      </c>
      <c r="J126" s="2" t="s">
        <v>23</v>
      </c>
      <c r="K126" s="2" t="s">
        <v>19</v>
      </c>
    </row>
    <row r="127" customFormat="false" ht="15" hidden="false" customHeight="false" outlineLevel="0" collapsed="false">
      <c r="A127" s="2" t="s">
        <v>50</v>
      </c>
      <c r="B127" s="3" t="n">
        <v>1126</v>
      </c>
      <c r="C127" s="2" t="n">
        <v>9212</v>
      </c>
      <c r="D127" s="2" t="s">
        <v>38</v>
      </c>
      <c r="E127" s="4" t="n">
        <v>4</v>
      </c>
      <c r="F127" s="4" t="n">
        <v>7</v>
      </c>
      <c r="G127" s="4" t="n">
        <f aca="false">F127-E127</f>
        <v>3</v>
      </c>
      <c r="H127" s="4" t="n">
        <f aca="false">IF(F127&gt;50,0.2,0.1)*G127</f>
        <v>0.3</v>
      </c>
      <c r="I127" s="2" t="s">
        <v>22</v>
      </c>
      <c r="J127" s="2" t="s">
        <v>23</v>
      </c>
      <c r="K127" s="2" t="s">
        <v>15</v>
      </c>
    </row>
    <row r="128" customFormat="false" ht="15" hidden="false" customHeight="false" outlineLevel="0" collapsed="false">
      <c r="A128" s="2" t="s">
        <v>50</v>
      </c>
      <c r="B128" s="3" t="n">
        <v>1127</v>
      </c>
      <c r="C128" s="2" t="n">
        <v>8722</v>
      </c>
      <c r="D128" s="2" t="s">
        <v>26</v>
      </c>
      <c r="E128" s="4" t="n">
        <v>344</v>
      </c>
      <c r="F128" s="4" t="n">
        <v>502</v>
      </c>
      <c r="G128" s="4" t="n">
        <f aca="false">F128-E128</f>
        <v>158</v>
      </c>
      <c r="H128" s="4" t="n">
        <f aca="false">IF(F128&gt;50,0.2,0.1)*G128</f>
        <v>31.6</v>
      </c>
      <c r="I128" s="2" t="s">
        <v>13</v>
      </c>
      <c r="J128" s="2" t="s">
        <v>14</v>
      </c>
      <c r="K128" s="2" t="s">
        <v>41</v>
      </c>
    </row>
    <row r="129" customFormat="false" ht="15" hidden="false" customHeight="false" outlineLevel="0" collapsed="false">
      <c r="A129" s="2" t="s">
        <v>50</v>
      </c>
      <c r="B129" s="3" t="n">
        <v>1128</v>
      </c>
      <c r="C129" s="2" t="n">
        <v>6622</v>
      </c>
      <c r="D129" s="2" t="s">
        <v>45</v>
      </c>
      <c r="E129" s="4" t="n">
        <v>42</v>
      </c>
      <c r="F129" s="4" t="n">
        <v>77</v>
      </c>
      <c r="G129" s="4" t="n">
        <f aca="false">F129-E129</f>
        <v>35</v>
      </c>
      <c r="H129" s="4" t="n">
        <f aca="false">IF(F129&gt;50,0.2,0.1)*G129</f>
        <v>7</v>
      </c>
      <c r="I129" s="2" t="s">
        <v>17</v>
      </c>
      <c r="J129" s="2" t="s">
        <v>18</v>
      </c>
      <c r="K129" s="2" t="s">
        <v>19</v>
      </c>
    </row>
    <row r="130" customFormat="false" ht="15" hidden="false" customHeight="false" outlineLevel="0" collapsed="false">
      <c r="A130" s="2" t="s">
        <v>50</v>
      </c>
      <c r="B130" s="3" t="n">
        <v>1129</v>
      </c>
      <c r="C130" s="2" t="n">
        <v>9822</v>
      </c>
      <c r="D130" s="2" t="s">
        <v>12</v>
      </c>
      <c r="E130" s="4" t="n">
        <v>58.3</v>
      </c>
      <c r="F130" s="4" t="n">
        <v>98.4</v>
      </c>
      <c r="G130" s="4" t="n">
        <f aca="false">F130-E130</f>
        <v>40.1</v>
      </c>
      <c r="H130" s="4" t="n">
        <f aca="false">IF(F130&gt;50,0.2,0.1)*G130</f>
        <v>8.02</v>
      </c>
      <c r="I130" s="2" t="s">
        <v>31</v>
      </c>
      <c r="J130" s="2" t="s">
        <v>32</v>
      </c>
      <c r="K130" s="2" t="s">
        <v>41</v>
      </c>
    </row>
    <row r="131" customFormat="false" ht="15" hidden="false" customHeight="false" outlineLevel="0" collapsed="false">
      <c r="A131" s="2" t="s">
        <v>50</v>
      </c>
      <c r="B131" s="3" t="n">
        <v>1130</v>
      </c>
      <c r="C131" s="2" t="n">
        <v>4421</v>
      </c>
      <c r="D131" s="2" t="s">
        <v>37</v>
      </c>
      <c r="E131" s="4" t="n">
        <v>45</v>
      </c>
      <c r="F131" s="4" t="n">
        <v>87</v>
      </c>
      <c r="G131" s="4" t="n">
        <f aca="false">F131-E131</f>
        <v>42</v>
      </c>
      <c r="H131" s="4" t="n">
        <f aca="false">IF(F131&gt;50,0.2,0.1)*G131</f>
        <v>8.4</v>
      </c>
      <c r="I131" s="2" t="s">
        <v>31</v>
      </c>
      <c r="J131" s="2" t="s">
        <v>32</v>
      </c>
      <c r="K131" s="2" t="s">
        <v>19</v>
      </c>
    </row>
    <row r="132" customFormat="false" ht="15" hidden="false" customHeight="false" outlineLevel="0" collapsed="false">
      <c r="A132" s="2" t="s">
        <v>50</v>
      </c>
      <c r="B132" s="3" t="n">
        <v>1131</v>
      </c>
      <c r="C132" s="2" t="n">
        <v>9212</v>
      </c>
      <c r="D132" s="2" t="s">
        <v>38</v>
      </c>
      <c r="E132" s="4" t="n">
        <v>4</v>
      </c>
      <c r="F132" s="4" t="n">
        <v>7</v>
      </c>
      <c r="G132" s="4" t="n">
        <f aca="false">F132-E132</f>
        <v>3</v>
      </c>
      <c r="H132" s="4" t="n">
        <f aca="false">IF(F132&gt;50,0.2,0.1)*G132</f>
        <v>0.3</v>
      </c>
      <c r="I132" s="2" t="s">
        <v>31</v>
      </c>
      <c r="J132" s="2" t="s">
        <v>32</v>
      </c>
      <c r="K132" s="2" t="s">
        <v>24</v>
      </c>
    </row>
    <row r="133" customFormat="false" ht="15" hidden="false" customHeight="false" outlineLevel="0" collapsed="false">
      <c r="A133" s="2" t="s">
        <v>50</v>
      </c>
      <c r="B133" s="3" t="n">
        <v>1132</v>
      </c>
      <c r="C133" s="2" t="n">
        <v>9212</v>
      </c>
      <c r="D133" s="2" t="s">
        <v>38</v>
      </c>
      <c r="E133" s="4" t="n">
        <v>4</v>
      </c>
      <c r="F133" s="4" t="n">
        <v>7</v>
      </c>
      <c r="G133" s="4" t="n">
        <f aca="false">F133-E133</f>
        <v>3</v>
      </c>
      <c r="H133" s="4" t="n">
        <f aca="false">IF(F133&gt;50,0.2,0.1)*G133</f>
        <v>0.3</v>
      </c>
      <c r="I133" s="2" t="s">
        <v>31</v>
      </c>
      <c r="J133" s="2" t="s">
        <v>32</v>
      </c>
      <c r="K133" s="2" t="s">
        <v>19</v>
      </c>
    </row>
    <row r="134" customFormat="false" ht="15" hidden="false" customHeight="false" outlineLevel="0" collapsed="false">
      <c r="A134" s="2" t="s">
        <v>50</v>
      </c>
      <c r="B134" s="3" t="n">
        <v>1133</v>
      </c>
      <c r="C134" s="2" t="n">
        <v>9822</v>
      </c>
      <c r="D134" s="2" t="s">
        <v>12</v>
      </c>
      <c r="E134" s="4" t="n">
        <v>58.3</v>
      </c>
      <c r="F134" s="4" t="n">
        <v>98.4</v>
      </c>
      <c r="G134" s="4" t="n">
        <f aca="false">F134-E134</f>
        <v>40.1</v>
      </c>
      <c r="H134" s="4" t="n">
        <f aca="false">IF(F134&gt;50,0.2,0.1)*G134</f>
        <v>8.02</v>
      </c>
      <c r="I134" s="2" t="s">
        <v>13</v>
      </c>
      <c r="J134" s="2" t="s">
        <v>14</v>
      </c>
      <c r="K134" s="2" t="s">
        <v>24</v>
      </c>
    </row>
    <row r="135" customFormat="false" ht="15" hidden="false" customHeight="false" outlineLevel="0" collapsed="false">
      <c r="A135" s="2" t="s">
        <v>50</v>
      </c>
      <c r="B135" s="3" t="n">
        <v>1134</v>
      </c>
      <c r="C135" s="2" t="n">
        <v>9822</v>
      </c>
      <c r="D135" s="2" t="s">
        <v>12</v>
      </c>
      <c r="E135" s="4" t="n">
        <v>58.3</v>
      </c>
      <c r="F135" s="4" t="n">
        <v>98.4</v>
      </c>
      <c r="G135" s="4" t="n">
        <f aca="false">F135-E135</f>
        <v>40.1</v>
      </c>
      <c r="H135" s="4" t="n">
        <f aca="false">IF(F135&gt;50,0.2,0.1)*G135</f>
        <v>8.02</v>
      </c>
      <c r="I135" s="2" t="s">
        <v>22</v>
      </c>
      <c r="J135" s="2" t="s">
        <v>23</v>
      </c>
      <c r="K135" s="2" t="s">
        <v>24</v>
      </c>
    </row>
    <row r="136" customFormat="false" ht="15" hidden="false" customHeight="false" outlineLevel="0" collapsed="false">
      <c r="A136" s="2" t="s">
        <v>50</v>
      </c>
      <c r="B136" s="3" t="n">
        <v>1135</v>
      </c>
      <c r="C136" s="2" t="n">
        <v>8722</v>
      </c>
      <c r="D136" s="2" t="s">
        <v>26</v>
      </c>
      <c r="E136" s="4" t="n">
        <v>344</v>
      </c>
      <c r="F136" s="4" t="n">
        <v>502</v>
      </c>
      <c r="G136" s="4" t="n">
        <f aca="false">F136-E136</f>
        <v>158</v>
      </c>
      <c r="H136" s="4" t="n">
        <f aca="false">IF(F136&gt;50,0.2,0.1)*G136</f>
        <v>31.6</v>
      </c>
      <c r="I136" s="2" t="s">
        <v>13</v>
      </c>
      <c r="J136" s="2" t="s">
        <v>14</v>
      </c>
      <c r="K136" s="2" t="s">
        <v>41</v>
      </c>
    </row>
    <row r="137" customFormat="false" ht="15" hidden="false" customHeight="false" outlineLevel="0" collapsed="false">
      <c r="A137" s="2" t="s">
        <v>50</v>
      </c>
      <c r="B137" s="3" t="n">
        <v>1136</v>
      </c>
      <c r="C137" s="2" t="n">
        <v>2242</v>
      </c>
      <c r="D137" s="2" t="s">
        <v>40</v>
      </c>
      <c r="E137" s="4" t="n">
        <v>60</v>
      </c>
      <c r="F137" s="4" t="n">
        <v>124</v>
      </c>
      <c r="G137" s="4" t="n">
        <f aca="false">F137-E137</f>
        <v>64</v>
      </c>
      <c r="H137" s="4" t="n">
        <f aca="false">IF(F137&gt;50,0.2,0.1)*G137</f>
        <v>12.8</v>
      </c>
      <c r="I137" s="2" t="s">
        <v>22</v>
      </c>
      <c r="J137" s="2" t="s">
        <v>23</v>
      </c>
      <c r="K137" s="2" t="s">
        <v>15</v>
      </c>
    </row>
    <row r="138" customFormat="false" ht="15" hidden="false" customHeight="false" outlineLevel="0" collapsed="false">
      <c r="A138" s="2" t="s">
        <v>50</v>
      </c>
      <c r="B138" s="3" t="n">
        <v>1137</v>
      </c>
      <c r="C138" s="2" t="n">
        <v>9822</v>
      </c>
      <c r="D138" s="2" t="s">
        <v>12</v>
      </c>
      <c r="E138" s="4" t="n">
        <v>58.3</v>
      </c>
      <c r="F138" s="4" t="n">
        <v>98.4</v>
      </c>
      <c r="G138" s="4" t="n">
        <f aca="false">F138-E138</f>
        <v>40.1</v>
      </c>
      <c r="H138" s="4" t="n">
        <f aca="false">IF(F138&gt;50,0.2,0.1)*G138</f>
        <v>8.02</v>
      </c>
      <c r="I138" s="2" t="s">
        <v>17</v>
      </c>
      <c r="J138" s="2" t="s">
        <v>18</v>
      </c>
      <c r="K138" s="2" t="s">
        <v>19</v>
      </c>
    </row>
    <row r="139" customFormat="false" ht="15" hidden="false" customHeight="false" outlineLevel="0" collapsed="false">
      <c r="A139" s="2" t="s">
        <v>50</v>
      </c>
      <c r="B139" s="3" t="n">
        <v>1138</v>
      </c>
      <c r="C139" s="2" t="n">
        <v>8722</v>
      </c>
      <c r="D139" s="2" t="s">
        <v>26</v>
      </c>
      <c r="E139" s="4" t="n">
        <v>344</v>
      </c>
      <c r="F139" s="4" t="n">
        <v>502</v>
      </c>
      <c r="G139" s="4" t="n">
        <f aca="false">F139-E139</f>
        <v>158</v>
      </c>
      <c r="H139" s="4" t="n">
        <f aca="false">IF(F139&gt;50,0.2,0.1)*G139</f>
        <v>31.6</v>
      </c>
      <c r="I139" s="2" t="s">
        <v>13</v>
      </c>
      <c r="J139" s="2" t="s">
        <v>14</v>
      </c>
      <c r="K139" s="2" t="s">
        <v>42</v>
      </c>
    </row>
    <row r="140" customFormat="false" ht="15" hidden="false" customHeight="false" outlineLevel="0" collapsed="false">
      <c r="A140" s="2" t="s">
        <v>50</v>
      </c>
      <c r="B140" s="3" t="n">
        <v>1139</v>
      </c>
      <c r="C140" s="2" t="n">
        <v>4421</v>
      </c>
      <c r="D140" s="2" t="s">
        <v>37</v>
      </c>
      <c r="E140" s="4" t="n">
        <v>45</v>
      </c>
      <c r="F140" s="4" t="n">
        <v>87</v>
      </c>
      <c r="G140" s="4" t="n">
        <f aca="false">F140-E140</f>
        <v>42</v>
      </c>
      <c r="H140" s="4" t="n">
        <f aca="false">IF(F140&gt;50,0.2,0.1)*G140</f>
        <v>8.4</v>
      </c>
      <c r="I140" s="2" t="s">
        <v>22</v>
      </c>
      <c r="J140" s="2" t="s">
        <v>23</v>
      </c>
      <c r="K140" s="2" t="s">
        <v>19</v>
      </c>
    </row>
    <row r="141" customFormat="false" ht="15" hidden="false" customHeight="false" outlineLevel="0" collapsed="false">
      <c r="A141" s="2" t="s">
        <v>50</v>
      </c>
      <c r="B141" s="3" t="n">
        <v>1140</v>
      </c>
      <c r="C141" s="2" t="n">
        <v>4421</v>
      </c>
      <c r="D141" s="2" t="s">
        <v>37</v>
      </c>
      <c r="E141" s="4" t="n">
        <v>45</v>
      </c>
      <c r="F141" s="4" t="n">
        <v>87</v>
      </c>
      <c r="G141" s="4" t="n">
        <f aca="false">F141-E141</f>
        <v>42</v>
      </c>
      <c r="H141" s="4" t="n">
        <f aca="false">IF(F141&gt;50,0.2,0.1)*G141</f>
        <v>8.4</v>
      </c>
      <c r="I141" s="2" t="s">
        <v>17</v>
      </c>
      <c r="J141" s="2" t="s">
        <v>18</v>
      </c>
      <c r="K141" s="2" t="s">
        <v>41</v>
      </c>
    </row>
    <row r="142" customFormat="false" ht="15" hidden="false" customHeight="false" outlineLevel="0" collapsed="false">
      <c r="A142" s="2" t="s">
        <v>50</v>
      </c>
      <c r="B142" s="3" t="n">
        <v>1141</v>
      </c>
      <c r="C142" s="2" t="n">
        <v>9212</v>
      </c>
      <c r="D142" s="2" t="s">
        <v>38</v>
      </c>
      <c r="E142" s="4" t="n">
        <v>4</v>
      </c>
      <c r="F142" s="4" t="n">
        <v>7</v>
      </c>
      <c r="G142" s="4" t="n">
        <f aca="false">F142-E142</f>
        <v>3</v>
      </c>
      <c r="H142" s="4" t="n">
        <f aca="false">IF(F142&gt;50,0.2,0.1)*G142</f>
        <v>0.3</v>
      </c>
      <c r="I142" s="2" t="s">
        <v>17</v>
      </c>
      <c r="J142" s="2" t="s">
        <v>18</v>
      </c>
      <c r="K142" s="2" t="s">
        <v>24</v>
      </c>
    </row>
    <row r="143" customFormat="false" ht="15" hidden="false" customHeight="false" outlineLevel="0" collapsed="false">
      <c r="A143" s="2" t="s">
        <v>51</v>
      </c>
      <c r="B143" s="3" t="n">
        <v>1142</v>
      </c>
      <c r="C143" s="2" t="n">
        <v>2242</v>
      </c>
      <c r="D143" s="2" t="s">
        <v>40</v>
      </c>
      <c r="E143" s="4" t="n">
        <v>60</v>
      </c>
      <c r="F143" s="4" t="n">
        <v>124</v>
      </c>
      <c r="G143" s="4" t="n">
        <f aca="false">F143-E143</f>
        <v>64</v>
      </c>
      <c r="H143" s="4" t="n">
        <f aca="false">IF(F143&gt;50,0.2,0.1)*G143</f>
        <v>12.8</v>
      </c>
      <c r="I143" s="2" t="s">
        <v>17</v>
      </c>
      <c r="J143" s="2" t="s">
        <v>18</v>
      </c>
      <c r="K143" s="2" t="s">
        <v>41</v>
      </c>
    </row>
    <row r="144" customFormat="false" ht="15" hidden="false" customHeight="false" outlineLevel="0" collapsed="false">
      <c r="A144" s="2" t="s">
        <v>51</v>
      </c>
      <c r="B144" s="3" t="n">
        <v>1143</v>
      </c>
      <c r="C144" s="2" t="n">
        <v>9822</v>
      </c>
      <c r="D144" s="2" t="s">
        <v>12</v>
      </c>
      <c r="E144" s="4" t="n">
        <v>58.3</v>
      </c>
      <c r="F144" s="4" t="n">
        <v>98.4</v>
      </c>
      <c r="G144" s="4" t="n">
        <f aca="false">F144-E144</f>
        <v>40.1</v>
      </c>
      <c r="H144" s="4" t="n">
        <f aca="false">IF(F144&gt;50,0.2,0.1)*G144</f>
        <v>8.02</v>
      </c>
      <c r="I144" s="2" t="s">
        <v>31</v>
      </c>
      <c r="J144" s="2" t="s">
        <v>32</v>
      </c>
      <c r="K144" s="2" t="s">
        <v>24</v>
      </c>
    </row>
    <row r="145" customFormat="false" ht="15" hidden="false" customHeight="false" outlineLevel="0" collapsed="false">
      <c r="A145" s="2" t="s">
        <v>51</v>
      </c>
      <c r="B145" s="3" t="n">
        <v>1144</v>
      </c>
      <c r="C145" s="2" t="n">
        <v>2242</v>
      </c>
      <c r="D145" s="2" t="s">
        <v>40</v>
      </c>
      <c r="E145" s="4" t="n">
        <v>60</v>
      </c>
      <c r="F145" s="4" t="n">
        <v>124</v>
      </c>
      <c r="G145" s="4" t="n">
        <f aca="false">F145-E145</f>
        <v>64</v>
      </c>
      <c r="H145" s="4" t="n">
        <f aca="false">IF(F145&gt;50,0.2,0.1)*G145</f>
        <v>12.8</v>
      </c>
      <c r="I145" s="2" t="s">
        <v>31</v>
      </c>
      <c r="J145" s="2" t="s">
        <v>32</v>
      </c>
      <c r="K145" s="2" t="s">
        <v>19</v>
      </c>
    </row>
    <row r="146" customFormat="false" ht="15" hidden="false" customHeight="false" outlineLevel="0" collapsed="false">
      <c r="A146" s="2" t="s">
        <v>51</v>
      </c>
      <c r="B146" s="3" t="n">
        <v>1145</v>
      </c>
      <c r="C146" s="2" t="n">
        <v>4421</v>
      </c>
      <c r="D146" s="2" t="s">
        <v>37</v>
      </c>
      <c r="E146" s="4" t="n">
        <v>45</v>
      </c>
      <c r="F146" s="4" t="n">
        <v>87</v>
      </c>
      <c r="G146" s="4" t="n">
        <f aca="false">F146-E146</f>
        <v>42</v>
      </c>
      <c r="H146" s="4" t="n">
        <f aca="false">IF(F146&gt;50,0.2,0.1)*G146</f>
        <v>8.4</v>
      </c>
      <c r="I146" s="2" t="s">
        <v>31</v>
      </c>
      <c r="J146" s="2" t="s">
        <v>32</v>
      </c>
      <c r="K146" s="2" t="s">
        <v>15</v>
      </c>
    </row>
    <row r="147" customFormat="false" ht="15" hidden="false" customHeight="false" outlineLevel="0" collapsed="false">
      <c r="A147" s="2" t="s">
        <v>51</v>
      </c>
      <c r="B147" s="3" t="n">
        <v>1146</v>
      </c>
      <c r="C147" s="2" t="n">
        <v>8722</v>
      </c>
      <c r="D147" s="2" t="s">
        <v>26</v>
      </c>
      <c r="E147" s="4" t="n">
        <v>344</v>
      </c>
      <c r="F147" s="4" t="n">
        <v>502</v>
      </c>
      <c r="G147" s="4" t="n">
        <f aca="false">F147-E147</f>
        <v>158</v>
      </c>
      <c r="H147" s="4" t="n">
        <f aca="false">IF(F147&gt;50,0.2,0.1)*G147</f>
        <v>31.6</v>
      </c>
      <c r="I147" s="2" t="s">
        <v>31</v>
      </c>
      <c r="J147" s="2" t="s">
        <v>32</v>
      </c>
      <c r="K147" s="2" t="s">
        <v>41</v>
      </c>
    </row>
    <row r="148" customFormat="false" ht="15" hidden="false" customHeight="false" outlineLevel="0" collapsed="false">
      <c r="A148" s="2" t="s">
        <v>51</v>
      </c>
      <c r="B148" s="3" t="n">
        <v>1147</v>
      </c>
      <c r="C148" s="2" t="n">
        <v>9822</v>
      </c>
      <c r="D148" s="2" t="s">
        <v>12</v>
      </c>
      <c r="E148" s="4" t="n">
        <v>58.3</v>
      </c>
      <c r="F148" s="4" t="n">
        <v>98.4</v>
      </c>
      <c r="G148" s="4" t="n">
        <f aca="false">F148-E148</f>
        <v>40.1</v>
      </c>
      <c r="H148" s="4" t="n">
        <f aca="false">IF(F148&gt;50,0.2,0.1)*G148</f>
        <v>8.02</v>
      </c>
      <c r="I148" s="2" t="s">
        <v>13</v>
      </c>
      <c r="J148" s="2" t="s">
        <v>14</v>
      </c>
      <c r="K148" s="2" t="s">
        <v>19</v>
      </c>
    </row>
    <row r="149" customFormat="false" ht="15" hidden="false" customHeight="false" outlineLevel="0" collapsed="false">
      <c r="A149" s="2" t="s">
        <v>51</v>
      </c>
      <c r="B149" s="3" t="n">
        <v>1148</v>
      </c>
      <c r="C149" s="2" t="n">
        <v>9212</v>
      </c>
      <c r="D149" s="2" t="s">
        <v>38</v>
      </c>
      <c r="E149" s="4" t="n">
        <v>4</v>
      </c>
      <c r="F149" s="4" t="n">
        <v>7</v>
      </c>
      <c r="G149" s="4" t="n">
        <f aca="false">F149-E149</f>
        <v>3</v>
      </c>
      <c r="H149" s="4" t="n">
        <f aca="false">IF(F149&gt;50,0.2,0.1)*G149</f>
        <v>0.3</v>
      </c>
      <c r="I149" s="2" t="s">
        <v>22</v>
      </c>
      <c r="J149" s="2" t="s">
        <v>23</v>
      </c>
      <c r="K149" s="2" t="s">
        <v>24</v>
      </c>
    </row>
    <row r="150" customFormat="false" ht="15" hidden="false" customHeight="false" outlineLevel="0" collapsed="false">
      <c r="A150" s="2" t="s">
        <v>51</v>
      </c>
      <c r="B150" s="3" t="n">
        <v>1149</v>
      </c>
      <c r="C150" s="2" t="n">
        <v>8722</v>
      </c>
      <c r="D150" s="2" t="s">
        <v>26</v>
      </c>
      <c r="E150" s="4" t="n">
        <v>344</v>
      </c>
      <c r="F150" s="4" t="n">
        <v>502</v>
      </c>
      <c r="G150" s="4" t="n">
        <f aca="false">F150-E150</f>
        <v>158</v>
      </c>
      <c r="H150" s="4" t="n">
        <f aca="false">IF(F150&gt;50,0.2,0.1)*G150</f>
        <v>31.6</v>
      </c>
      <c r="I150" s="2" t="s">
        <v>13</v>
      </c>
      <c r="J150" s="2" t="s">
        <v>14</v>
      </c>
      <c r="K150" s="2" t="s">
        <v>24</v>
      </c>
    </row>
    <row r="151" customFormat="false" ht="15" hidden="false" customHeight="false" outlineLevel="0" collapsed="false">
      <c r="A151" s="2" t="s">
        <v>52</v>
      </c>
      <c r="B151" s="3" t="n">
        <v>1150</v>
      </c>
      <c r="C151" s="2" t="n">
        <v>2242</v>
      </c>
      <c r="D151" s="2" t="s">
        <v>40</v>
      </c>
      <c r="E151" s="4" t="n">
        <v>60</v>
      </c>
      <c r="F151" s="4" t="n">
        <v>124</v>
      </c>
      <c r="G151" s="4" t="n">
        <f aca="false">F151-E151</f>
        <v>64</v>
      </c>
      <c r="H151" s="4" t="n">
        <f aca="false">IF(F151&gt;50,0.2,0.1)*G151</f>
        <v>12.8</v>
      </c>
      <c r="I151" s="2" t="s">
        <v>22</v>
      </c>
      <c r="J151" s="2" t="s">
        <v>23</v>
      </c>
      <c r="K151" s="2" t="s">
        <v>42</v>
      </c>
    </row>
    <row r="152" customFormat="false" ht="15" hidden="false" customHeight="false" outlineLevel="0" collapsed="false">
      <c r="A152" s="2" t="s">
        <v>52</v>
      </c>
      <c r="B152" s="3" t="n">
        <v>1151</v>
      </c>
      <c r="C152" s="2" t="n">
        <v>2242</v>
      </c>
      <c r="D152" s="2" t="s">
        <v>40</v>
      </c>
      <c r="E152" s="4" t="n">
        <v>60</v>
      </c>
      <c r="F152" s="4" t="n">
        <v>124</v>
      </c>
      <c r="G152" s="4" t="n">
        <f aca="false">F152-E152</f>
        <v>64</v>
      </c>
      <c r="H152" s="4" t="n">
        <f aca="false">IF(F152&gt;50,0.2,0.1)*G152</f>
        <v>12.8</v>
      </c>
      <c r="I152" s="2" t="s">
        <v>17</v>
      </c>
      <c r="J152" s="2" t="s">
        <v>18</v>
      </c>
      <c r="K152" s="2" t="s">
        <v>19</v>
      </c>
    </row>
    <row r="153" customFormat="false" ht="15" hidden="false" customHeight="false" outlineLevel="0" collapsed="false">
      <c r="A153" s="2" t="s">
        <v>52</v>
      </c>
      <c r="B153" s="3" t="n">
        <v>1152</v>
      </c>
      <c r="C153" s="2" t="n">
        <v>4421</v>
      </c>
      <c r="D153" s="2" t="s">
        <v>37</v>
      </c>
      <c r="E153" s="4" t="n">
        <v>45</v>
      </c>
      <c r="F153" s="4" t="n">
        <v>87</v>
      </c>
      <c r="G153" s="4" t="n">
        <f aca="false">F153-E153</f>
        <v>42</v>
      </c>
      <c r="H153" s="4" t="n">
        <f aca="false">IF(F153&gt;50,0.2,0.1)*G153</f>
        <v>8.4</v>
      </c>
      <c r="I153" s="2" t="s">
        <v>13</v>
      </c>
      <c r="J153" s="2" t="s">
        <v>14</v>
      </c>
      <c r="K153" s="2" t="s">
        <v>41</v>
      </c>
    </row>
    <row r="154" customFormat="false" ht="15" hidden="false" customHeight="false" outlineLevel="0" collapsed="false">
      <c r="A154" s="2" t="s">
        <v>52</v>
      </c>
      <c r="B154" s="3" t="n">
        <v>1153</v>
      </c>
      <c r="C154" s="2" t="n">
        <v>8722</v>
      </c>
      <c r="D154" s="2" t="s">
        <v>26</v>
      </c>
      <c r="E154" s="4" t="n">
        <v>344</v>
      </c>
      <c r="F154" s="4" t="n">
        <v>502</v>
      </c>
      <c r="G154" s="4" t="n">
        <f aca="false">F154-E154</f>
        <v>158</v>
      </c>
      <c r="H154" s="4" t="n">
        <f aca="false">IF(F154&gt;50,0.2,0.1)*G154</f>
        <v>31.6</v>
      </c>
      <c r="I154" s="2" t="s">
        <v>22</v>
      </c>
      <c r="J154" s="2" t="s">
        <v>23</v>
      </c>
      <c r="K154" s="2" t="s">
        <v>24</v>
      </c>
    </row>
    <row r="155" customFormat="false" ht="15" hidden="false" customHeight="false" outlineLevel="0" collapsed="false">
      <c r="A155" s="2" t="s">
        <v>52</v>
      </c>
      <c r="B155" s="3" t="n">
        <v>1154</v>
      </c>
      <c r="C155" s="2" t="n">
        <v>9822</v>
      </c>
      <c r="D155" s="2" t="s">
        <v>12</v>
      </c>
      <c r="E155" s="4" t="n">
        <v>58.3</v>
      </c>
      <c r="F155" s="4" t="n">
        <v>98.4</v>
      </c>
      <c r="G155" s="4" t="n">
        <f aca="false">F155-E155</f>
        <v>40.1</v>
      </c>
      <c r="H155" s="4" t="n">
        <f aca="false">IF(F155&gt;50,0.2,0.1)*G155</f>
        <v>8.02</v>
      </c>
      <c r="I155" s="2" t="s">
        <v>17</v>
      </c>
      <c r="J155" s="2" t="s">
        <v>18</v>
      </c>
      <c r="K155" s="2" t="s">
        <v>41</v>
      </c>
    </row>
    <row r="156" customFormat="false" ht="15" hidden="false" customHeight="false" outlineLevel="0" collapsed="false">
      <c r="A156" s="2" t="s">
        <v>52</v>
      </c>
      <c r="B156" s="3" t="n">
        <v>1155</v>
      </c>
      <c r="C156" s="2" t="n">
        <v>4421</v>
      </c>
      <c r="D156" s="2" t="s">
        <v>37</v>
      </c>
      <c r="E156" s="4" t="n">
        <v>45</v>
      </c>
      <c r="F156" s="4" t="n">
        <v>87</v>
      </c>
      <c r="G156" s="4" t="n">
        <f aca="false">F156-E156</f>
        <v>42</v>
      </c>
      <c r="H156" s="4" t="n">
        <f aca="false">IF(F156&gt;50,0.2,0.1)*G156</f>
        <v>8.4</v>
      </c>
      <c r="I156" s="2" t="s">
        <v>22</v>
      </c>
      <c r="J156" s="2" t="s">
        <v>23</v>
      </c>
      <c r="K156" s="2" t="s">
        <v>24</v>
      </c>
    </row>
    <row r="157" customFormat="false" ht="15" hidden="false" customHeight="false" outlineLevel="0" collapsed="false">
      <c r="A157" s="2" t="s">
        <v>52</v>
      </c>
      <c r="B157" s="3" t="n">
        <v>1156</v>
      </c>
      <c r="C157" s="2" t="n">
        <v>2242</v>
      </c>
      <c r="D157" s="2" t="s">
        <v>40</v>
      </c>
      <c r="E157" s="4" t="n">
        <v>60</v>
      </c>
      <c r="F157" s="4" t="n">
        <v>124</v>
      </c>
      <c r="G157" s="4" t="n">
        <f aca="false">F157-E157</f>
        <v>64</v>
      </c>
      <c r="H157" s="4" t="n">
        <f aca="false">IF(F157&gt;50,0.2,0.1)*G157</f>
        <v>12.8</v>
      </c>
      <c r="I157" s="2" t="s">
        <v>22</v>
      </c>
      <c r="J157" s="2" t="s">
        <v>23</v>
      </c>
      <c r="K157" s="2" t="s">
        <v>19</v>
      </c>
    </row>
    <row r="158" customFormat="false" ht="15" hidden="false" customHeight="false" outlineLevel="0" collapsed="false">
      <c r="A158" s="2" t="s">
        <v>52</v>
      </c>
      <c r="B158" s="3" t="n">
        <v>1157</v>
      </c>
      <c r="C158" s="2" t="n">
        <v>9212</v>
      </c>
      <c r="D158" s="2" t="s">
        <v>38</v>
      </c>
      <c r="E158" s="4" t="n">
        <v>4</v>
      </c>
      <c r="F158" s="4" t="n">
        <v>7</v>
      </c>
      <c r="G158" s="4" t="n">
        <f aca="false">F158-E158</f>
        <v>3</v>
      </c>
      <c r="H158" s="4" t="n">
        <f aca="false">IF(F158&gt;50,0.2,0.1)*G158</f>
        <v>0.3</v>
      </c>
      <c r="I158" s="2" t="s">
        <v>22</v>
      </c>
      <c r="J158" s="2" t="s">
        <v>23</v>
      </c>
      <c r="K158" s="2" t="s">
        <v>15</v>
      </c>
    </row>
    <row r="159" customFormat="false" ht="15" hidden="false" customHeight="false" outlineLevel="0" collapsed="false">
      <c r="A159" s="2" t="s">
        <v>53</v>
      </c>
      <c r="B159" s="3" t="n">
        <v>1158</v>
      </c>
      <c r="C159" s="2" t="n">
        <v>8722</v>
      </c>
      <c r="D159" s="2" t="s">
        <v>26</v>
      </c>
      <c r="E159" s="4" t="n">
        <v>344</v>
      </c>
      <c r="F159" s="4" t="n">
        <v>502</v>
      </c>
      <c r="G159" s="4" t="n">
        <f aca="false">F159-E159</f>
        <v>158</v>
      </c>
      <c r="H159" s="4" t="n">
        <f aca="false">IF(F159&gt;50,0.2,0.1)*G159</f>
        <v>31.6</v>
      </c>
      <c r="I159" s="2" t="s">
        <v>13</v>
      </c>
      <c r="J159" s="2" t="s">
        <v>14</v>
      </c>
      <c r="K159" s="2" t="s">
        <v>41</v>
      </c>
    </row>
    <row r="160" customFormat="false" ht="15" hidden="false" customHeight="false" outlineLevel="0" collapsed="false">
      <c r="A160" s="2" t="s">
        <v>53</v>
      </c>
      <c r="B160" s="3" t="n">
        <v>1159</v>
      </c>
      <c r="C160" s="2" t="n">
        <v>6622</v>
      </c>
      <c r="D160" s="2" t="s">
        <v>45</v>
      </c>
      <c r="E160" s="4" t="n">
        <v>42</v>
      </c>
      <c r="F160" s="4" t="n">
        <v>77</v>
      </c>
      <c r="G160" s="4" t="n">
        <f aca="false">F160-E160</f>
        <v>35</v>
      </c>
      <c r="H160" s="4" t="n">
        <f aca="false">IF(F160&gt;50,0.2,0.1)*G160</f>
        <v>7</v>
      </c>
      <c r="I160" s="2" t="s">
        <v>22</v>
      </c>
      <c r="J160" s="2" t="s">
        <v>23</v>
      </c>
      <c r="K160" s="2" t="s">
        <v>19</v>
      </c>
    </row>
    <row r="161" customFormat="false" ht="15" hidden="false" customHeight="false" outlineLevel="0" collapsed="false">
      <c r="A161" s="2" t="s">
        <v>53</v>
      </c>
      <c r="B161" s="3" t="n">
        <v>1160</v>
      </c>
      <c r="C161" s="2" t="n">
        <v>9822</v>
      </c>
      <c r="D161" s="2" t="s">
        <v>12</v>
      </c>
      <c r="E161" s="4" t="n">
        <v>58.3</v>
      </c>
      <c r="F161" s="4" t="n">
        <v>98.4</v>
      </c>
      <c r="G161" s="4" t="n">
        <f aca="false">F161-E161</f>
        <v>40.1</v>
      </c>
      <c r="H161" s="4" t="n">
        <f aca="false">IF(F161&gt;50,0.2,0.1)*G161</f>
        <v>8.02</v>
      </c>
      <c r="I161" s="2" t="s">
        <v>31</v>
      </c>
      <c r="J161" s="2" t="s">
        <v>32</v>
      </c>
      <c r="K161" s="2" t="s">
        <v>41</v>
      </c>
    </row>
    <row r="162" customFormat="false" ht="15" hidden="false" customHeight="false" outlineLevel="0" collapsed="false">
      <c r="A162" s="2" t="s">
        <v>53</v>
      </c>
      <c r="B162" s="3" t="n">
        <v>1161</v>
      </c>
      <c r="C162" s="2" t="n">
        <v>4421</v>
      </c>
      <c r="D162" s="2" t="s">
        <v>37</v>
      </c>
      <c r="E162" s="4" t="n">
        <v>45</v>
      </c>
      <c r="F162" s="4" t="n">
        <v>87</v>
      </c>
      <c r="G162" s="4" t="n">
        <f aca="false">F162-E162</f>
        <v>42</v>
      </c>
      <c r="H162" s="4" t="n">
        <f aca="false">IF(F162&gt;50,0.2,0.1)*G162</f>
        <v>8.4</v>
      </c>
      <c r="I162" s="2" t="s">
        <v>17</v>
      </c>
      <c r="J162" s="2" t="s">
        <v>18</v>
      </c>
      <c r="K162" s="2" t="s">
        <v>19</v>
      </c>
    </row>
    <row r="163" customFormat="false" ht="15" hidden="false" customHeight="false" outlineLevel="0" collapsed="false">
      <c r="A163" s="2" t="s">
        <v>53</v>
      </c>
      <c r="B163" s="3" t="n">
        <v>1162</v>
      </c>
      <c r="C163" s="2" t="n">
        <v>9212</v>
      </c>
      <c r="D163" s="2" t="s">
        <v>38</v>
      </c>
      <c r="E163" s="4" t="n">
        <v>4</v>
      </c>
      <c r="F163" s="4" t="n">
        <v>7</v>
      </c>
      <c r="G163" s="4" t="n">
        <f aca="false">F163-E163</f>
        <v>3</v>
      </c>
      <c r="H163" s="4" t="n">
        <f aca="false">IF(F163&gt;50,0.2,0.1)*G163</f>
        <v>0.3</v>
      </c>
      <c r="I163" s="2" t="s">
        <v>13</v>
      </c>
      <c r="J163" s="2" t="s">
        <v>14</v>
      </c>
      <c r="K163" s="2" t="s">
        <v>24</v>
      </c>
    </row>
    <row r="164" customFormat="false" ht="15" hidden="false" customHeight="false" outlineLevel="0" collapsed="false">
      <c r="A164" s="2" t="s">
        <v>53</v>
      </c>
      <c r="B164" s="3" t="n">
        <v>1163</v>
      </c>
      <c r="C164" s="2" t="n">
        <v>9212</v>
      </c>
      <c r="D164" s="2" t="s">
        <v>38</v>
      </c>
      <c r="E164" s="4" t="n">
        <v>4</v>
      </c>
      <c r="F164" s="4" t="n">
        <v>7</v>
      </c>
      <c r="G164" s="4" t="n">
        <f aca="false">F164-E164</f>
        <v>3</v>
      </c>
      <c r="H164" s="4" t="n">
        <f aca="false">IF(F164&gt;50,0.2,0.1)*G164</f>
        <v>0.3</v>
      </c>
      <c r="I164" s="2" t="s">
        <v>22</v>
      </c>
      <c r="J164" s="2" t="s">
        <v>23</v>
      </c>
      <c r="K164" s="2" t="s">
        <v>19</v>
      </c>
    </row>
    <row r="165" customFormat="false" ht="15" hidden="false" customHeight="false" outlineLevel="0" collapsed="false">
      <c r="A165" s="2" t="s">
        <v>53</v>
      </c>
      <c r="B165" s="3" t="n">
        <v>1164</v>
      </c>
      <c r="C165" s="2" t="n">
        <v>9822</v>
      </c>
      <c r="D165" s="2" t="s">
        <v>12</v>
      </c>
      <c r="E165" s="4" t="n">
        <v>58.3</v>
      </c>
      <c r="F165" s="4" t="n">
        <v>98.4</v>
      </c>
      <c r="G165" s="4" t="n">
        <f aca="false">F165-E165</f>
        <v>40.1</v>
      </c>
      <c r="H165" s="4" t="n">
        <f aca="false">IF(F165&gt;50,0.2,0.1)*G165</f>
        <v>8.02</v>
      </c>
      <c r="I165" s="2" t="s">
        <v>22</v>
      </c>
      <c r="J165" s="2" t="s">
        <v>23</v>
      </c>
      <c r="K165" s="2" t="s">
        <v>24</v>
      </c>
    </row>
    <row r="166" customFormat="false" ht="15" hidden="false" customHeight="false" outlineLevel="0" collapsed="false">
      <c r="A166" s="2" t="s">
        <v>53</v>
      </c>
      <c r="B166" s="3" t="n">
        <v>1165</v>
      </c>
      <c r="C166" s="2" t="n">
        <v>9822</v>
      </c>
      <c r="D166" s="2" t="s">
        <v>12</v>
      </c>
      <c r="E166" s="4" t="n">
        <v>58.3</v>
      </c>
      <c r="F166" s="4" t="n">
        <v>98.4</v>
      </c>
      <c r="G166" s="4" t="n">
        <f aca="false">F166-E166</f>
        <v>40.1</v>
      </c>
      <c r="H166" s="4" t="n">
        <f aca="false">IF(F166&gt;50,0.2,0.1)*G166</f>
        <v>8.02</v>
      </c>
      <c r="I166" s="2" t="s">
        <v>22</v>
      </c>
      <c r="J166" s="2" t="s">
        <v>23</v>
      </c>
      <c r="K166" s="2" t="s">
        <v>24</v>
      </c>
    </row>
    <row r="167" customFormat="false" ht="15" hidden="false" customHeight="false" outlineLevel="0" collapsed="false">
      <c r="A167" s="2" t="s">
        <v>53</v>
      </c>
      <c r="B167" s="3" t="n">
        <v>1166</v>
      </c>
      <c r="C167" s="2" t="n">
        <v>8722</v>
      </c>
      <c r="D167" s="2" t="s">
        <v>26</v>
      </c>
      <c r="E167" s="4" t="n">
        <v>344</v>
      </c>
      <c r="F167" s="4" t="n">
        <v>502</v>
      </c>
      <c r="G167" s="4" t="n">
        <f aca="false">F167-E167</f>
        <v>158</v>
      </c>
      <c r="H167" s="4" t="n">
        <f aca="false">IF(F167&gt;50,0.2,0.1)*G167</f>
        <v>31.6</v>
      </c>
      <c r="I167" s="2" t="s">
        <v>22</v>
      </c>
      <c r="J167" s="2" t="s">
        <v>23</v>
      </c>
      <c r="K167" s="2" t="s">
        <v>41</v>
      </c>
    </row>
    <row r="168" customFormat="false" ht="15" hidden="false" customHeight="false" outlineLevel="0" collapsed="false">
      <c r="A168" s="2" t="s">
        <v>53</v>
      </c>
      <c r="B168" s="3" t="n">
        <v>1167</v>
      </c>
      <c r="C168" s="2" t="n">
        <v>2242</v>
      </c>
      <c r="D168" s="2" t="s">
        <v>40</v>
      </c>
      <c r="E168" s="4" t="n">
        <v>60</v>
      </c>
      <c r="F168" s="4" t="n">
        <v>124</v>
      </c>
      <c r="G168" s="4" t="n">
        <f aca="false">F168-E168</f>
        <v>64</v>
      </c>
      <c r="H168" s="4" t="n">
        <f aca="false">IF(F168&gt;50,0.2,0.1)*G168</f>
        <v>12.8</v>
      </c>
      <c r="I168" s="2" t="s">
        <v>22</v>
      </c>
      <c r="J168" s="2" t="s">
        <v>23</v>
      </c>
      <c r="K168" s="2" t="s">
        <v>15</v>
      </c>
    </row>
    <row r="169" customFormat="false" ht="15" hidden="false" customHeight="false" outlineLevel="0" collapsed="false">
      <c r="A169" s="2" t="s">
        <v>54</v>
      </c>
      <c r="B169" s="3" t="n">
        <v>1168</v>
      </c>
      <c r="C169" s="2" t="n">
        <v>9822</v>
      </c>
      <c r="D169" s="2" t="s">
        <v>12</v>
      </c>
      <c r="E169" s="4" t="n">
        <v>58.3</v>
      </c>
      <c r="F169" s="4" t="n">
        <v>98.4</v>
      </c>
      <c r="G169" s="4" t="n">
        <f aca="false">F169-E169</f>
        <v>40.1</v>
      </c>
      <c r="H169" s="4" t="n">
        <f aca="false">IF(F169&gt;50,0.2,0.1)*G169</f>
        <v>8.02</v>
      </c>
      <c r="I169" s="2" t="s">
        <v>22</v>
      </c>
      <c r="J169" s="2" t="s">
        <v>23</v>
      </c>
      <c r="K169" s="2" t="s">
        <v>19</v>
      </c>
    </row>
    <row r="170" customFormat="false" ht="15" hidden="false" customHeight="false" outlineLevel="0" collapsed="false">
      <c r="A170" s="2" t="s">
        <v>54</v>
      </c>
      <c r="B170" s="3" t="n">
        <v>1169</v>
      </c>
      <c r="C170" s="2" t="n">
        <v>8722</v>
      </c>
      <c r="D170" s="2" t="s">
        <v>26</v>
      </c>
      <c r="E170" s="4" t="n">
        <v>344</v>
      </c>
      <c r="F170" s="4" t="n">
        <v>502</v>
      </c>
      <c r="G170" s="4" t="n">
        <f aca="false">F170-E170</f>
        <v>158</v>
      </c>
      <c r="H170" s="4" t="n">
        <f aca="false">IF(F170&gt;50,0.2,0.1)*G170</f>
        <v>31.6</v>
      </c>
      <c r="I170" s="2" t="s">
        <v>22</v>
      </c>
      <c r="J170" s="2" t="s">
        <v>23</v>
      </c>
      <c r="K170" s="2" t="s">
        <v>42</v>
      </c>
    </row>
    <row r="171" customFormat="false" ht="15" hidden="false" customHeight="false" outlineLevel="0" collapsed="false">
      <c r="A171" s="2" t="s">
        <v>54</v>
      </c>
      <c r="B171" s="3" t="n">
        <v>1170</v>
      </c>
      <c r="C171" s="2" t="n">
        <v>4421</v>
      </c>
      <c r="D171" s="2" t="s">
        <v>37</v>
      </c>
      <c r="E171" s="4" t="n">
        <v>45</v>
      </c>
      <c r="F171" s="4" t="n">
        <v>87</v>
      </c>
      <c r="G171" s="4" t="n">
        <f aca="false">F171-E171</f>
        <v>42</v>
      </c>
      <c r="H171" s="4" t="n">
        <f aca="false">IF(F171&gt;50,0.2,0.1)*G171</f>
        <v>8.4</v>
      </c>
      <c r="I171" s="2" t="s">
        <v>13</v>
      </c>
      <c r="J171" s="2" t="s">
        <v>14</v>
      </c>
      <c r="K171" s="2" t="s">
        <v>19</v>
      </c>
    </row>
    <row r="172" customFormat="false" ht="15" hidden="false" customHeight="false" outlineLevel="0" collapsed="false">
      <c r="A172" s="2" t="s">
        <v>54</v>
      </c>
      <c r="B172" s="3" t="n">
        <v>1171</v>
      </c>
      <c r="C172" s="2" t="n">
        <v>4421</v>
      </c>
      <c r="D172" s="2" t="s">
        <v>37</v>
      </c>
      <c r="E172" s="4" t="n">
        <v>45</v>
      </c>
      <c r="F172" s="4" t="n">
        <v>87</v>
      </c>
      <c r="G172" s="4" t="n">
        <f aca="false">F172-E172</f>
        <v>42</v>
      </c>
      <c r="H172" s="4" t="n">
        <f aca="false">IF(F172&gt;50,0.2,0.1)*G172</f>
        <v>8.4</v>
      </c>
      <c r="I172" s="2" t="s">
        <v>17</v>
      </c>
      <c r="J172" s="2" t="s">
        <v>18</v>
      </c>
      <c r="K172" s="2" t="s">
        <v>41</v>
      </c>
    </row>
    <row r="174" customFormat="false" ht="15" hidden="false" customHeight="false" outlineLevel="0" collapsed="false">
      <c r="A174" s="5" t="s">
        <v>55</v>
      </c>
      <c r="F174" s="9" t="n">
        <f aca="false">SUM(F2:F172)</f>
        <v>17110.6</v>
      </c>
    </row>
    <row r="175" customFormat="false" ht="15" hidden="false" customHeight="false" outlineLevel="0" collapsed="false">
      <c r="A175" s="5" t="s">
        <v>56</v>
      </c>
      <c r="F175" s="9" t="n">
        <f aca="false">SUMIF(F2:F172,"&gt;50")</f>
        <v>16088.4</v>
      </c>
    </row>
    <row r="176" customFormat="false" ht="15" hidden="false" customHeight="false" outlineLevel="0" collapsed="false">
      <c r="A176" s="5" t="s">
        <v>57</v>
      </c>
      <c r="F176" s="9" t="n">
        <f aca="false">SUMIF(F2:F172,"&lt;=50")</f>
        <v>1022.2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8"/>
  </cols>
  <sheetData>
    <row r="1" customFormat="false" ht="15" hidden="false" customHeight="false" outlineLevel="0" collapsed="false">
      <c r="A1" s="10" t="s">
        <v>58</v>
      </c>
    </row>
    <row r="3" customFormat="false" ht="15" hidden="false" customHeight="false" outlineLevel="0" collapsed="false">
      <c r="A3" s="11" t="s">
        <v>9</v>
      </c>
      <c r="B3" s="11" t="s">
        <v>59</v>
      </c>
      <c r="C3" s="11" t="s">
        <v>60</v>
      </c>
    </row>
    <row r="4" customFormat="false" ht="15" hidden="false" customHeight="false" outlineLevel="0" collapsed="false">
      <c r="A4" s="12" t="s">
        <v>14</v>
      </c>
      <c r="B4" s="13" t="n">
        <f aca="false">SUMIF(Sales!$J$2:$J$172,A4,Sales!$F$2:$F$172)</f>
        <v>6003.5</v>
      </c>
      <c r="C4" s="12" t="n">
        <f aca="false">COUNTIF(Sales!$J$2:$J$172,A4)</f>
        <v>33</v>
      </c>
    </row>
    <row r="5" customFormat="false" ht="15" hidden="false" customHeight="false" outlineLevel="0" collapsed="false">
      <c r="A5" s="12" t="s">
        <v>18</v>
      </c>
      <c r="B5" s="13" t="n">
        <f aca="false">SUMIF(Sales!$J$2:$J$172,A5,Sales!$F$2:$F$172)</f>
        <v>2410.7</v>
      </c>
      <c r="C5" s="12" t="n">
        <f aca="false">COUNTIF(Sales!$J$2:$J$172,A5)</f>
        <v>41</v>
      </c>
    </row>
    <row r="6" customFormat="false" ht="15" hidden="false" customHeight="false" outlineLevel="0" collapsed="false">
      <c r="A6" s="12" t="s">
        <v>32</v>
      </c>
      <c r="B6" s="13" t="n">
        <f aca="false">SUMIF(Sales!$J$2:$J$172,A6,Sales!$F$2:$F$172)</f>
        <v>3035.3</v>
      </c>
      <c r="C6" s="12" t="n">
        <f aca="false">COUNTIF(Sales!$J$2:$J$172,A6)</f>
        <v>31</v>
      </c>
    </row>
    <row r="7" customFormat="false" ht="15" hidden="false" customHeight="false" outlineLevel="0" collapsed="false">
      <c r="A7" s="12" t="s">
        <v>23</v>
      </c>
      <c r="B7" s="13" t="n">
        <f aca="false">SUMIF(Sales!$J$2:$J$172,A7,Sales!$F$2:$F$172)</f>
        <v>5661.1</v>
      </c>
      <c r="C7" s="12" t="n">
        <f aca="false">COUNTIF(Sales!$J$2:$J$172,A7)</f>
        <v>66</v>
      </c>
    </row>
    <row r="8" customFormat="false" ht="15" hidden="false" customHeight="false" outlineLevel="0" collapsed="false">
      <c r="A8" s="14" t="s">
        <v>61</v>
      </c>
      <c r="B8" s="15" t="n">
        <f aca="false">SUM(B4:B7)</f>
        <v>17110.6</v>
      </c>
      <c r="C8" s="14" t="n">
        <f aca="false">SUM(C4:C7)</f>
        <v>171</v>
      </c>
    </row>
    <row r="10" customFormat="false" ht="15" hidden="false" customHeight="false" outlineLevel="0" collapsed="false">
      <c r="A10" s="11" t="s">
        <v>10</v>
      </c>
      <c r="B10" s="11" t="s">
        <v>59</v>
      </c>
      <c r="C10" s="11" t="s">
        <v>60</v>
      </c>
    </row>
    <row r="11" customFormat="false" ht="15" hidden="false" customHeight="false" outlineLevel="0" collapsed="false">
      <c r="A11" s="12" t="s">
        <v>24</v>
      </c>
      <c r="B11" s="13" t="n">
        <f aca="false">SUMIF(Sales!$K$2:$K$172,A11,Sales!$F$2:$F$172)</f>
        <v>5908</v>
      </c>
      <c r="C11" s="12" t="n">
        <f aca="false">COUNTIF(Sales!$K$2:$K$172,A11)</f>
        <v>52</v>
      </c>
    </row>
    <row r="12" customFormat="false" ht="15" hidden="false" customHeight="false" outlineLevel="0" collapsed="false">
      <c r="A12" s="12" t="s">
        <v>19</v>
      </c>
      <c r="B12" s="13" t="n">
        <f aca="false">SUMIF(Sales!$K$2:$K$172,A12,Sales!$F$2:$F$172)</f>
        <v>3413.6</v>
      </c>
      <c r="C12" s="12" t="n">
        <f aca="false">COUNTIF(Sales!$K$2:$K$172,A12)</f>
        <v>45</v>
      </c>
    </row>
    <row r="13" customFormat="false" ht="15" hidden="false" customHeight="false" outlineLevel="0" collapsed="false">
      <c r="A13" s="12" t="s">
        <v>36</v>
      </c>
      <c r="B13" s="13" t="n">
        <f aca="false">SUMIF(Sales!$K$2:$K$172,A13,Sales!$F$2:$F$172)</f>
        <v>66</v>
      </c>
      <c r="C13" s="12" t="n">
        <f aca="false">COUNTIF(Sales!$K$2:$K$172,A13)</f>
        <v>6</v>
      </c>
    </row>
    <row r="14" customFormat="false" ht="15" hidden="false" customHeight="false" outlineLevel="0" collapsed="false">
      <c r="A14" s="12" t="s">
        <v>15</v>
      </c>
      <c r="B14" s="13" t="n">
        <f aca="false">SUMIF(Sales!$K$2:$K$172,A14,Sales!$F$2:$F$172)</f>
        <v>1776.9</v>
      </c>
      <c r="C14" s="12" t="n">
        <f aca="false">COUNTIF(Sales!$K$2:$K$172,A14)</f>
        <v>20</v>
      </c>
    </row>
    <row r="15" customFormat="false" ht="15" hidden="false" customHeight="false" outlineLevel="0" collapsed="false">
      <c r="A15" s="12" t="s">
        <v>41</v>
      </c>
      <c r="B15" s="13" t="n">
        <f aca="false">SUMIF(Sales!$K$2:$K$172,A15,Sales!$F$2:$F$172)</f>
        <v>4722.5</v>
      </c>
      <c r="C15" s="12" t="n">
        <f aca="false">COUNTIF(Sales!$K$2:$K$172,A15)</f>
        <v>38</v>
      </c>
    </row>
    <row r="16" customFormat="false" ht="15" hidden="false" customHeight="false" outlineLevel="0" collapsed="false">
      <c r="A16" s="12" t="s">
        <v>42</v>
      </c>
      <c r="B16" s="13" t="n">
        <f aca="false">SUMIF(Sales!$K$2:$K$172,A16,Sales!$F$2:$F$172)</f>
        <v>1223.6</v>
      </c>
      <c r="C16" s="12" t="n">
        <f aca="false">COUNTIF(Sales!$K$2:$K$172,A16)</f>
        <v>10</v>
      </c>
    </row>
    <row r="17" customFormat="false" ht="15" hidden="false" customHeight="false" outlineLevel="0" collapsed="false">
      <c r="A17" s="14" t="s">
        <v>61</v>
      </c>
      <c r="B17" s="15" t="n">
        <f aca="false">SUM(B11:B16)</f>
        <v>17110.6</v>
      </c>
      <c r="C17" s="14" t="n">
        <f aca="false">SUM(C11:C16)</f>
        <v>171</v>
      </c>
    </row>
    <row r="19" customFormat="false" ht="15" hidden="false" customHeight="false" outlineLevel="0" collapsed="false">
      <c r="A19" s="11" t="s">
        <v>3</v>
      </c>
      <c r="B19" s="11" t="s">
        <v>59</v>
      </c>
      <c r="C19" s="11" t="s">
        <v>60</v>
      </c>
    </row>
    <row r="20" customFormat="false" ht="15" hidden="false" customHeight="false" outlineLevel="0" collapsed="false">
      <c r="A20" s="12" t="s">
        <v>38</v>
      </c>
      <c r="B20" s="13" t="n">
        <f aca="false">SUMIF(Sales!$D$2:$D$172,A20,Sales!$F$2:$F$172)</f>
        <v>77</v>
      </c>
      <c r="C20" s="12" t="n">
        <f aca="false">COUNTIF(Sales!$D$2:$D$172,A20)</f>
        <v>11</v>
      </c>
    </row>
    <row r="21" customFormat="false" ht="15" hidden="false" customHeight="false" outlineLevel="0" collapsed="false">
      <c r="A21" s="12" t="s">
        <v>45</v>
      </c>
      <c r="B21" s="13" t="n">
        <f aca="false">SUMIF(Sales!$D$2:$D$172,A21,Sales!$F$2:$F$172)</f>
        <v>693</v>
      </c>
      <c r="C21" s="12" t="n">
        <f aca="false">COUNTIF(Sales!$D$2:$D$172,A21)</f>
        <v>9</v>
      </c>
    </row>
    <row r="22" customFormat="false" ht="15" hidden="false" customHeight="false" outlineLevel="0" collapsed="false">
      <c r="A22" s="12" t="s">
        <v>21</v>
      </c>
      <c r="B22" s="13" t="n">
        <f aca="false">SUMIF(Sales!$D$2:$D$172,A22,Sales!$F$2:$F$172)</f>
        <v>184</v>
      </c>
      <c r="C22" s="12" t="n">
        <f aca="false">COUNTIF(Sales!$D$2:$D$172,A22)</f>
        <v>20</v>
      </c>
    </row>
    <row r="23" customFormat="false" ht="15" hidden="false" customHeight="false" outlineLevel="0" collapsed="false">
      <c r="A23" s="12" t="s">
        <v>43</v>
      </c>
      <c r="B23" s="13" t="n">
        <f aca="false">SUMIF(Sales!$D$2:$D$172,A23,Sales!$F$2:$F$172)</f>
        <v>210</v>
      </c>
      <c r="C23" s="12" t="n">
        <f aca="false">COUNTIF(Sales!$D$2:$D$172,A23)</f>
        <v>15</v>
      </c>
    </row>
    <row r="24" customFormat="false" ht="15" hidden="false" customHeight="false" outlineLevel="0" collapsed="false">
      <c r="A24" s="12" t="s">
        <v>40</v>
      </c>
      <c r="B24" s="13" t="n">
        <f aca="false">SUMIF(Sales!$D$2:$D$172,A24,Sales!$F$2:$F$172)</f>
        <v>1984</v>
      </c>
      <c r="C24" s="12" t="n">
        <f aca="false">COUNTIF(Sales!$D$2:$D$172,A24)</f>
        <v>16</v>
      </c>
    </row>
    <row r="25" customFormat="false" ht="15" hidden="false" customHeight="false" outlineLevel="0" collapsed="false">
      <c r="A25" s="12" t="s">
        <v>28</v>
      </c>
      <c r="B25" s="13" t="n">
        <f aca="false">SUMIF(Sales!$D$2:$D$172,A25,Sales!$F$2:$F$172)</f>
        <v>160</v>
      </c>
      <c r="C25" s="12" t="n">
        <f aca="false">COUNTIF(Sales!$D$2:$D$172,A25)</f>
        <v>20</v>
      </c>
    </row>
    <row r="26" customFormat="false" ht="15" hidden="false" customHeight="false" outlineLevel="0" collapsed="false">
      <c r="A26" s="12" t="s">
        <v>16</v>
      </c>
      <c r="B26" s="13" t="n">
        <f aca="false">SUMIF(Sales!$D$2:$D$172,A26,Sales!$F$2:$F$172)</f>
        <v>391.2</v>
      </c>
      <c r="C26" s="12" t="n">
        <f aca="false">COUNTIF(Sales!$D$2:$D$172,A26)</f>
        <v>24</v>
      </c>
    </row>
    <row r="27" customFormat="false" ht="15" hidden="false" customHeight="false" outlineLevel="0" collapsed="false">
      <c r="A27" s="12" t="s">
        <v>12</v>
      </c>
      <c r="B27" s="13" t="n">
        <f aca="false">SUMIF(Sales!$D$2:$D$172,A27,Sales!$F$2:$F$172)</f>
        <v>2066.4</v>
      </c>
      <c r="C27" s="12" t="n">
        <f aca="false">COUNTIF(Sales!$D$2:$D$172,A27)</f>
        <v>21</v>
      </c>
    </row>
    <row r="28" customFormat="false" ht="15" hidden="false" customHeight="false" outlineLevel="0" collapsed="false">
      <c r="A28" s="12" t="s">
        <v>37</v>
      </c>
      <c r="B28" s="13" t="n">
        <f aca="false">SUMIF(Sales!$D$2:$D$172,A28,Sales!$F$2:$F$172)</f>
        <v>1305</v>
      </c>
      <c r="C28" s="12" t="n">
        <f aca="false">COUNTIF(Sales!$D$2:$D$172,A28)</f>
        <v>15</v>
      </c>
    </row>
    <row r="29" customFormat="false" ht="15" hidden="false" customHeight="false" outlineLevel="0" collapsed="false">
      <c r="A29" s="12" t="s">
        <v>26</v>
      </c>
      <c r="B29" s="13" t="n">
        <f aca="false">SUMIF(Sales!$D$2:$D$172,A29,Sales!$F$2:$F$172)</f>
        <v>10040</v>
      </c>
      <c r="C29" s="12" t="n">
        <f aca="false">COUNTIF(Sales!$D$2:$D$172,A29)</f>
        <v>20</v>
      </c>
    </row>
    <row r="30" customFormat="false" ht="15" hidden="false" customHeight="false" outlineLevel="0" collapsed="false">
      <c r="A30" s="14" t="s">
        <v>61</v>
      </c>
      <c r="B30" s="15" t="n">
        <f aca="false">SUM(B20:B29)</f>
        <v>17110.6</v>
      </c>
      <c r="C30" s="14" t="n">
        <f aca="false">SUM(C20:C29)</f>
        <v>171</v>
      </c>
    </row>
    <row r="32" customFormat="false" ht="15" hidden="false" customHeight="false" outlineLevel="0" collapsed="false">
      <c r="A32" s="11" t="s">
        <v>0</v>
      </c>
      <c r="B32" s="11" t="s">
        <v>59</v>
      </c>
      <c r="C32" s="11" t="s">
        <v>60</v>
      </c>
    </row>
    <row r="33" customFormat="false" ht="15" hidden="false" customHeight="false" outlineLevel="0" collapsed="false">
      <c r="A33" s="12" t="s">
        <v>11</v>
      </c>
      <c r="B33" s="13" t="n">
        <f aca="false">SUMIF(Sales!$A$2:$A$172,A33,Sales!$F$2:$F$172)</f>
        <v>1418.7</v>
      </c>
      <c r="C33" s="12" t="n">
        <f aca="false">COUNTIF(Sales!$A$2:$A$172,A33)</f>
        <v>16</v>
      </c>
    </row>
    <row r="34" customFormat="false" ht="15" hidden="false" customHeight="false" outlineLevel="0" collapsed="false">
      <c r="A34" s="12" t="s">
        <v>39</v>
      </c>
      <c r="B34" s="13" t="n">
        <f aca="false">SUMIF(Sales!$A$2:$A$172,A34,Sales!$F$2:$F$172)</f>
        <v>971.2</v>
      </c>
      <c r="C34" s="12" t="n">
        <f aca="false">COUNTIF(Sales!$A$2:$A$172,A34)</f>
        <v>18</v>
      </c>
    </row>
    <row r="35" customFormat="false" ht="15" hidden="false" customHeight="false" outlineLevel="0" collapsed="false">
      <c r="A35" s="12" t="s">
        <v>44</v>
      </c>
      <c r="B35" s="13" t="n">
        <f aca="false">SUMIF(Sales!$A$2:$A$172,A35,Sales!$F$2:$F$172)</f>
        <v>1875.4</v>
      </c>
      <c r="C35" s="12" t="n">
        <f aca="false">COUNTIF(Sales!$A$2:$A$172,A35)</f>
        <v>14</v>
      </c>
    </row>
    <row r="36" customFormat="false" ht="15" hidden="false" customHeight="false" outlineLevel="0" collapsed="false">
      <c r="A36" s="12" t="s">
        <v>46</v>
      </c>
      <c r="B36" s="13" t="n">
        <f aca="false">SUMIF(Sales!$A$2:$A$172,A36,Sales!$F$2:$F$172)</f>
        <v>510.7</v>
      </c>
      <c r="C36" s="12" t="n">
        <f aca="false">COUNTIF(Sales!$A$2:$A$172,A36)</f>
        <v>12</v>
      </c>
    </row>
    <row r="37" customFormat="false" ht="15" hidden="false" customHeight="false" outlineLevel="0" collapsed="false">
      <c r="A37" s="12" t="s">
        <v>47</v>
      </c>
      <c r="B37" s="13" t="n">
        <f aca="false">SUMIF(Sales!$A$2:$A$172,A37,Sales!$F$2:$F$172)</f>
        <v>347.4</v>
      </c>
      <c r="C37" s="12" t="n">
        <f aca="false">COUNTIF(Sales!$A$2:$A$172,A37)</f>
        <v>18</v>
      </c>
    </row>
    <row r="38" customFormat="false" ht="15" hidden="false" customHeight="false" outlineLevel="0" collapsed="false">
      <c r="A38" s="12" t="s">
        <v>48</v>
      </c>
      <c r="B38" s="13" t="n">
        <f aca="false">SUMIF(Sales!$A$2:$A$172,A38,Sales!$F$2:$F$172)</f>
        <v>409.5</v>
      </c>
      <c r="C38" s="12" t="n">
        <f aca="false">COUNTIF(Sales!$A$2:$A$172,A38)</f>
        <v>20</v>
      </c>
    </row>
    <row r="39" customFormat="false" ht="15" hidden="false" customHeight="false" outlineLevel="0" collapsed="false">
      <c r="A39" s="12" t="s">
        <v>49</v>
      </c>
      <c r="B39" s="13" t="n">
        <f aca="false">SUMIF(Sales!$A$2:$A$172,A39,Sales!$F$2:$F$172)</f>
        <v>3992.3</v>
      </c>
      <c r="C39" s="12" t="n">
        <f aca="false">COUNTIF(Sales!$A$2:$A$172,A39)</f>
        <v>26</v>
      </c>
    </row>
    <row r="40" customFormat="false" ht="15" hidden="false" customHeight="false" outlineLevel="0" collapsed="false">
      <c r="A40" s="12" t="s">
        <v>50</v>
      </c>
      <c r="B40" s="13" t="n">
        <f aca="false">SUMIF(Sales!$A$2:$A$172,A40,Sales!$F$2:$F$172)</f>
        <v>2513.6</v>
      </c>
      <c r="C40" s="12" t="n">
        <f aca="false">COUNTIF(Sales!$A$2:$A$172,A40)</f>
        <v>17</v>
      </c>
    </row>
    <row r="41" customFormat="false" ht="15" hidden="false" customHeight="false" outlineLevel="0" collapsed="false">
      <c r="A41" s="12" t="s">
        <v>51</v>
      </c>
      <c r="B41" s="13" t="n">
        <f aca="false">SUMIF(Sales!$A$2:$A$172,A41,Sales!$F$2:$F$172)</f>
        <v>1542.8</v>
      </c>
      <c r="C41" s="12" t="n">
        <f aca="false">COUNTIF(Sales!$A$2:$A$172,A41)</f>
        <v>8</v>
      </c>
    </row>
    <row r="42" customFormat="false" ht="15" hidden="false" customHeight="false" outlineLevel="0" collapsed="false">
      <c r="A42" s="12" t="s">
        <v>52</v>
      </c>
      <c r="B42" s="13" t="n">
        <f aca="false">SUMIF(Sales!$A$2:$A$172,A42,Sales!$F$2:$F$172)</f>
        <v>1153.4</v>
      </c>
      <c r="C42" s="12" t="n">
        <f aca="false">COUNTIF(Sales!$A$2:$A$172,A42)</f>
        <v>8</v>
      </c>
    </row>
    <row r="43" customFormat="false" ht="15" hidden="false" customHeight="false" outlineLevel="0" collapsed="false">
      <c r="A43" s="12" t="s">
        <v>53</v>
      </c>
      <c r="B43" s="13" t="n">
        <f aca="false">SUMIF(Sales!$A$2:$A$172,A43,Sales!$F$2:$F$172)</f>
        <v>1601.2</v>
      </c>
      <c r="C43" s="12" t="n">
        <f aca="false">COUNTIF(Sales!$A$2:$A$172,A43)</f>
        <v>10</v>
      </c>
    </row>
    <row r="44" customFormat="false" ht="15" hidden="false" customHeight="false" outlineLevel="0" collapsed="false">
      <c r="A44" s="12" t="s">
        <v>54</v>
      </c>
      <c r="B44" s="13" t="n">
        <f aca="false">SUMIF(Sales!$A$2:$A$172,A44,Sales!$F$2:$F$172)</f>
        <v>774.4</v>
      </c>
      <c r="C44" s="12" t="n">
        <f aca="false">COUNTIF(Sales!$A$2:$A$172,A44)</f>
        <v>4</v>
      </c>
    </row>
    <row r="45" customFormat="false" ht="15" hidden="false" customHeight="false" outlineLevel="0" collapsed="false">
      <c r="A45" s="14" t="s">
        <v>61</v>
      </c>
      <c r="B45" s="15" t="n">
        <f aca="false">SUM(B33:B44)</f>
        <v>17110.6</v>
      </c>
      <c r="C45" s="14" t="n">
        <f aca="false">SUM(C33:C44)</f>
        <v>171</v>
      </c>
    </row>
    <row r="47" customFormat="false" ht="15" hidden="false" customHeight="false" outlineLevel="0" collapsed="false">
      <c r="A47" s="11" t="s">
        <v>62</v>
      </c>
      <c r="B47" s="11" t="s">
        <v>63</v>
      </c>
      <c r="C47" s="11" t="s">
        <v>60</v>
      </c>
    </row>
    <row r="48" customFormat="false" ht="15" hidden="false" customHeight="false" outlineLevel="0" collapsed="false">
      <c r="A48" s="12" t="s">
        <v>14</v>
      </c>
      <c r="B48" s="13" t="n">
        <f aca="false">SUMIF(Sales!$J$2:$J$172,A48,Sales!$H$2:$H$172)</f>
        <v>396.75</v>
      </c>
      <c r="C48" s="12" t="n">
        <f aca="false">COUNTIF(Sales!$J$2:$J$172,A48)</f>
        <v>33</v>
      </c>
    </row>
    <row r="49" customFormat="false" ht="15" hidden="false" customHeight="false" outlineLevel="0" collapsed="false">
      <c r="A49" s="12" t="s">
        <v>18</v>
      </c>
      <c r="B49" s="13" t="n">
        <f aca="false">SUMIF(Sales!$J$2:$J$172,A49,Sales!$H$2:$H$172)</f>
        <v>193.81</v>
      </c>
      <c r="C49" s="12" t="n">
        <f aca="false">COUNTIF(Sales!$J$2:$J$172,A49)</f>
        <v>41</v>
      </c>
    </row>
    <row r="50" customFormat="false" ht="15" hidden="false" customHeight="false" outlineLevel="0" collapsed="false">
      <c r="A50" s="12" t="s">
        <v>32</v>
      </c>
      <c r="B50" s="13" t="n">
        <f aca="false">SUMIF(Sales!$J$2:$J$172,A50,Sales!$H$2:$H$172)</f>
        <v>209.45</v>
      </c>
      <c r="C50" s="12" t="n">
        <f aca="false">COUNTIF(Sales!$J$2:$J$172,A50)</f>
        <v>31</v>
      </c>
    </row>
    <row r="51" customFormat="false" ht="15" hidden="false" customHeight="false" outlineLevel="0" collapsed="false">
      <c r="A51" s="12" t="s">
        <v>23</v>
      </c>
      <c r="B51" s="13" t="n">
        <f aca="false">SUMIF(Sales!$J$2:$J$172,A51,Sales!$H$2:$H$172)</f>
        <v>432.77</v>
      </c>
      <c r="C51" s="12" t="n">
        <f aca="false">COUNTIF(Sales!$J$2:$J$172,A51)</f>
        <v>66</v>
      </c>
    </row>
    <row r="52" customFormat="false" ht="15" hidden="false" customHeight="false" outlineLevel="0" collapsed="false">
      <c r="A52" s="14" t="s">
        <v>61</v>
      </c>
      <c r="B52" s="15" t="n">
        <f aca="false">SUM(B48:B51)</f>
        <v>1232.78</v>
      </c>
      <c r="C52" s="14" t="n">
        <f aca="false">SUM(C48:C51)</f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3"/>
    <col collapsed="false" customWidth="true" hidden="false" outlineLevel="0" max="4" min="4" style="0" width="3"/>
    <col collapsed="false" customWidth="true" hidden="false" outlineLevel="0" max="6" min="5" style="0" width="15"/>
  </cols>
  <sheetData>
    <row r="1" customFormat="false" ht="15" hidden="false" customHeight="false" outlineLevel="0" collapsed="false">
      <c r="A1" s="16" t="s">
        <v>64</v>
      </c>
    </row>
    <row r="2" customFormat="false" ht="15" hidden="false" customHeight="false" outlineLevel="0" collapsed="false">
      <c r="A2" s="17" t="s">
        <v>65</v>
      </c>
      <c r="B2" s="17" t="s">
        <v>66</v>
      </c>
      <c r="C2" s="17" t="s">
        <v>67</v>
      </c>
      <c r="E2" s="17" t="s">
        <v>68</v>
      </c>
      <c r="F2" s="17" t="s">
        <v>69</v>
      </c>
    </row>
    <row r="3" customFormat="false" ht="15" hidden="false" customHeight="false" outlineLevel="0" collapsed="false">
      <c r="A3" s="18" t="s">
        <v>70</v>
      </c>
      <c r="E3" s="2" t="str">
        <f aca="false">LEFT(A3,FIND(" ",A3)-1)</f>
        <v>Charlie</v>
      </c>
      <c r="F3" s="2" t="str">
        <f aca="false">MID(A3,FIND(" ",A3)+1,50)</f>
        <v>Barns</v>
      </c>
    </row>
    <row r="4" customFormat="false" ht="15" hidden="false" customHeight="false" outlineLevel="0" collapsed="false">
      <c r="A4" s="18" t="s">
        <v>71</v>
      </c>
      <c r="E4" s="2" t="str">
        <f aca="false">LEFT(A4,FIND(" ",A4)-1)</f>
        <v>Juan</v>
      </c>
      <c r="F4" s="2" t="str">
        <f aca="false">MID(A4,FIND(" ",A4)+1,50)</f>
        <v>Hernandez</v>
      </c>
    </row>
    <row r="5" customFormat="false" ht="15" hidden="false" customHeight="false" outlineLevel="0" collapsed="false">
      <c r="A5" s="18" t="s">
        <v>72</v>
      </c>
      <c r="E5" s="2" t="str">
        <f aca="false">LEFT(A5,FIND(" ",A5)-1)</f>
        <v>Doug</v>
      </c>
      <c r="F5" s="2" t="str">
        <f aca="false">MID(A5,FIND(" ",A5)+1,50)</f>
        <v>Smith</v>
      </c>
    </row>
    <row r="6" customFormat="false" ht="15" hidden="false" customHeight="false" outlineLevel="0" collapsed="false">
      <c r="A6" s="18" t="s">
        <v>73</v>
      </c>
      <c r="E6" s="2" t="str">
        <f aca="false">LEFT(A6,FIND(" ",A6)-1)</f>
        <v>Helen</v>
      </c>
      <c r="F6" s="2" t="str">
        <f aca="false">MID(A6,FIND(" ",A6)+1,50)</f>
        <v>Johnson</v>
      </c>
    </row>
    <row r="7" customFormat="false" ht="15" hidden="false" customHeight="false" outlineLevel="0" collapsed="false">
      <c r="A7" s="18" t="s">
        <v>70</v>
      </c>
      <c r="E7" s="2" t="str">
        <f aca="false">LEFT(A7,FIND(" ",A7)-1)</f>
        <v>Charlie</v>
      </c>
      <c r="F7" s="2" t="str">
        <f aca="false">MID(A7,FIND(" ",A7)+1,50)</f>
        <v>Barns</v>
      </c>
    </row>
    <row r="8" customFormat="false" ht="15" hidden="false" customHeight="false" outlineLevel="0" collapsed="false">
      <c r="A8" s="18" t="s">
        <v>71</v>
      </c>
      <c r="E8" s="2" t="str">
        <f aca="false">LEFT(A8,FIND(" ",A8)-1)</f>
        <v>Juan</v>
      </c>
      <c r="F8" s="2" t="str">
        <f aca="false">MID(A8,FIND(" ",A8)+1,50)</f>
        <v>Hernandez</v>
      </c>
    </row>
    <row r="9" customFormat="false" ht="15" hidden="false" customHeight="false" outlineLevel="0" collapsed="false">
      <c r="A9" s="18" t="s">
        <v>72</v>
      </c>
      <c r="E9" s="2" t="str">
        <f aca="false">LEFT(A9,FIND(" ",A9)-1)</f>
        <v>Doug</v>
      </c>
      <c r="F9" s="2" t="str">
        <f aca="false">MID(A9,FIND(" ",A9)+1,50)</f>
        <v>Smith</v>
      </c>
    </row>
    <row r="10" customFormat="false" ht="15" hidden="false" customHeight="false" outlineLevel="0" collapsed="false">
      <c r="A10" s="18" t="s">
        <v>73</v>
      </c>
      <c r="E10" s="2" t="str">
        <f aca="false">LEFT(A10,FIND(" ",A10)-1)</f>
        <v>Helen</v>
      </c>
      <c r="F10" s="2" t="str">
        <f aca="false">MID(A10,FIND(" ",A10)+1,50)</f>
        <v>Johnson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2026-10-17T08:42:10Z</dcterms:created>
  <dc:creator>openpyxl</dc:creator>
  <dc:description/>
  <dc:language>en-US</dc:language>
  <cp:lastModifiedBy/>
  <dcterms:modified xsi:type="dcterms:W3CDTF">2026-10-17T13:42:12Z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