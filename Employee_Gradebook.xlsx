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boo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<sst xmlns="http://schemas.openxmlformats.org/spreadsheetml/2006/main" count="51" uniqueCount="47">
  <si>
    <t xml:space="preserve">Gradebook</t>
  </si>
  <si>
    <t xml:space="preserve">Safety Test</t>
  </si>
  <si>
    <t xml:space="preserve">Company Philosophy Test</t>
  </si>
  <si>
    <t xml:space="preserve">Financial Skills Test</t>
  </si>
  <si>
    <t xml:space="preserve">Drug Test</t>
  </si>
  <si>
    <t xml:space="preserve">Fire Employee?</t>
  </si>
  <si>
    <t xml:space="preserve">Points Possible</t>
  </si>
  <si>
    <t xml:space="preserve">Last Name</t>
  </si>
  <si>
    <t xml:space="preserve">First Name</t>
  </si>
  <si>
    <t xml:space="preserve">Kern</t>
  </si>
  <si>
    <t xml:space="preserve">Jon</t>
  </si>
  <si>
    <t xml:space="preserve">Howard</t>
  </si>
  <si>
    <t xml:space="preserve">Glenda</t>
  </si>
  <si>
    <t xml:space="preserve">O'Donnell</t>
  </si>
  <si>
    <t xml:space="preserve">Ron</t>
  </si>
  <si>
    <t xml:space="preserve">Hernandez</t>
  </si>
  <si>
    <t xml:space="preserve">Wendy</t>
  </si>
  <si>
    <t xml:space="preserve">Smith</t>
  </si>
  <si>
    <t xml:space="preserve">Paul</t>
  </si>
  <si>
    <t xml:space="preserve">Baker</t>
  </si>
  <si>
    <t xml:space="preserve">Tom</t>
  </si>
  <si>
    <t xml:space="preserve">Velinda</t>
  </si>
  <si>
    <t xml:space="preserve">Nancy</t>
  </si>
  <si>
    <t xml:space="preserve">Carnehan</t>
  </si>
  <si>
    <t xml:space="preserve">Karen</t>
  </si>
  <si>
    <t xml:space="preserve">Westerfield</t>
  </si>
  <si>
    <t xml:space="preserve">Dennis</t>
  </si>
  <si>
    <t xml:space="preserve">Penfold</t>
  </si>
  <si>
    <t xml:space="preserve">Sandy</t>
  </si>
  <si>
    <t xml:space="preserve">Islington</t>
  </si>
  <si>
    <t xml:space="preserve">Linda</t>
  </si>
  <si>
    <t xml:space="preserve">Young</t>
  </si>
  <si>
    <t xml:space="preserve">Olivia</t>
  </si>
  <si>
    <t xml:space="preserve">Trenton</t>
  </si>
  <si>
    <t xml:space="preserve">Blessing</t>
  </si>
  <si>
    <t xml:space="preserve">Engleheart</t>
  </si>
  <si>
    <t xml:space="preserve">Chandra</t>
  </si>
  <si>
    <t xml:space="preserve">Norman</t>
  </si>
  <si>
    <t xml:space="preserve">Bill</t>
  </si>
  <si>
    <t xml:space="preserve">Mann</t>
  </si>
  <si>
    <t xml:space="preserve">Trent</t>
  </si>
  <si>
    <t xml:space="preserve">Underhill</t>
  </si>
  <si>
    <t xml:space="preserve">Genesis</t>
  </si>
  <si>
    <t xml:space="preserve">Max</t>
  </si>
  <si>
    <t xml:space="preserve">Min</t>
  </si>
  <si>
    <t xml:space="preserve">Average</t>
  </si>
  <si>
    <t xml:space="preserve">Edit the blue Points Possible cells and the scores in C:F; everything else updates automatically. Anyone below 50% on any test is flagged TRUE.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</si>
</sst>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General"/>
    <numFmt numFmtId="167" formatCode="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Safety Test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Gradebook!$A$4:$A$20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O'Donnell</c:v>
                </c:pt>
                <c:pt idx="3">
                  <c:v>Hernandez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Gradebook!$C$4:$C$20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</c:ser>
        <c:gapWidth val="150"/>
        <c:overlap val="0"/>
        <c:axId val="7714766"/>
        <c:axId val="40186140"/>
      </c:barChart>
      <c:catAx>
        <c:axId val="77147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86140"/>
        <c:crosses val="autoZero"/>
        <c:auto val="1"/>
        <c:lblAlgn val="ctr"/>
        <c:lblOffset val="100"/>
        <c:noMultiLvlLbl val="0"/>
      </c:catAx>
      <c:valAx>
        <c:axId val="401861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47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Company Philosophy Test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Gradebook!$A$4:$A$20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O'Donnell</c:v>
                </c:pt>
                <c:pt idx="3">
                  <c:v>Hernandez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Gradebook!$D$4:$D$20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</c:ser>
        <c:gapWidth val="150"/>
        <c:overlap val="0"/>
        <c:axId val="4085052"/>
        <c:axId val="53412383"/>
      </c:barChart>
      <c:catAx>
        <c:axId val="40850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12383"/>
        <c:crosses val="autoZero"/>
        <c:auto val="1"/>
        <c:lblAlgn val="ctr"/>
        <c:lblOffset val="100"/>
        <c:noMultiLvlLbl val="0"/>
      </c:catAx>
      <c:valAx>
        <c:axId val="53412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50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Financial Skills Test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Gradebook!$A$4:$A$20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O'Donnell</c:v>
                </c:pt>
                <c:pt idx="3">
                  <c:v>Hernandez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Gradebook!$E$4:$E$20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75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</c:ser>
        <c:gapWidth val="150"/>
        <c:overlap val="0"/>
        <c:axId val="6165230"/>
        <c:axId val="40270756"/>
      </c:barChart>
      <c:catAx>
        <c:axId val="61652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70756"/>
        <c:crosses val="autoZero"/>
        <c:auto val="1"/>
        <c:lblAlgn val="ctr"/>
        <c:lblOffset val="100"/>
        <c:noMultiLvlLbl val="0"/>
      </c:catAx>
      <c:valAx>
        <c:axId val="402707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52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0</xdr:row>
      <xdr:rowOff>0</xdr:rowOff>
    </xdr:from>
    <xdr:to>
      <xdr:col>24</xdr:col>
      <xdr:colOff>4680</xdr:colOff>
      <xdr:row>4</xdr:row>
      <xdr:rowOff>99360</xdr:rowOff>
    </xdr:to>
    <xdr:graphicFrame>
      <xdr:nvGraphicFramePr>
        <xdr:cNvPr id="0" name="Chart 1"/>
        <xdr:cNvGraphicFramePr/>
      </xdr:nvGraphicFramePr>
      <xdr:xfrm>
        <a:off x="8294400" y="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15</xdr:row>
      <xdr:rowOff>0</xdr:rowOff>
    </xdr:from>
    <xdr:to>
      <xdr:col>24</xdr:col>
      <xdr:colOff>4680</xdr:colOff>
      <xdr:row>29</xdr:row>
      <xdr:rowOff>32760</xdr:rowOff>
    </xdr:to>
    <xdr:graphicFrame>
      <xdr:nvGraphicFramePr>
        <xdr:cNvPr id="1" name="Chart 2"/>
        <xdr:cNvGraphicFramePr/>
      </xdr:nvGraphicFramePr>
      <xdr:xfrm>
        <a:off x="8294400" y="469584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30</xdr:row>
      <xdr:rowOff>0</xdr:rowOff>
    </xdr:from>
    <xdr:to>
      <xdr:col>24</xdr:col>
      <xdr:colOff>4680</xdr:colOff>
      <xdr:row>44</xdr:row>
      <xdr:rowOff>32400</xdr:rowOff>
    </xdr:to>
    <xdr:graphicFrame>
      <xdr:nvGraphicFramePr>
        <xdr:cNvPr id="2" name="Chart 3"/>
        <xdr:cNvGraphicFramePr/>
      </xdr:nvGraphicFramePr>
      <xdr:xfrm>
        <a:off x="8294400" y="75531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6" min="3" style="0" width="8"/>
    <col collapsed="false" customWidth="true" hidden="false" outlineLevel="0" max="7" min="7" style="0" width="4"/>
    <col collapsed="false" customWidth="true" hidden="false" outlineLevel="0" max="11" min="8" style="0" width="8"/>
    <col collapsed="false" customWidth="true" hidden="false" outlineLevel="0" max="12" min="12" style="0" width="4"/>
    <col collapsed="false" customWidth="true" hidden="false" outlineLevel="0" max="13" min="13" style="0" width="10"/>
  </cols>
  <sheetData>
    <row r="1" customFormat="false" ht="159.75" hidden="false" customHeight="true" outlineLevel="0" collapsed="false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H1" s="2" t="s">
        <v>1</v>
      </c>
      <c r="I1" s="2" t="s">
        <v>2</v>
      </c>
      <c r="J1" s="2" t="s">
        <v>3</v>
      </c>
      <c r="K1" s="2" t="s">
        <v>4</v>
      </c>
      <c r="M1" s="2" t="s">
        <v>5</v>
      </c>
    </row>
    <row r="2" customFormat="false" ht="15" hidden="false" customHeight="false" outlineLevel="0" collapsed="false">
      <c r="A2" s="3"/>
      <c r="B2" s="4" t="s">
        <v>6</v>
      </c>
      <c r="C2" s="5" t="n">
        <v>10</v>
      </c>
      <c r="D2" s="5" t="n">
        <v>20</v>
      </c>
      <c r="E2" s="5" t="n">
        <v>100</v>
      </c>
      <c r="F2" s="5" t="n">
        <v>1</v>
      </c>
      <c r="G2" s="3"/>
      <c r="H2" s="3"/>
      <c r="I2" s="3"/>
      <c r="J2" s="3"/>
      <c r="K2" s="3"/>
      <c r="L2" s="3"/>
      <c r="M2" s="3"/>
    </row>
    <row r="3" customFormat="false" ht="15" hidden="false" customHeight="false" outlineLevel="0" collapsed="false">
      <c r="A3" s="4" t="s">
        <v>7</v>
      </c>
      <c r="B3" s="4" t="s">
        <v>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A4" s="3" t="s">
        <v>9</v>
      </c>
      <c r="B4" s="3" t="s">
        <v>10</v>
      </c>
      <c r="C4" s="3" t="n">
        <v>10</v>
      </c>
      <c r="D4" s="3" t="n">
        <v>19</v>
      </c>
      <c r="E4" s="3" t="n">
        <v>93</v>
      </c>
      <c r="F4" s="3" t="n">
        <v>1</v>
      </c>
      <c r="G4" s="3"/>
      <c r="H4" s="6" t="n">
        <f aca="false">C4/C$2</f>
        <v>1</v>
      </c>
      <c r="I4" s="6" t="n">
        <f aca="false">D4/D$2</f>
        <v>0.95</v>
      </c>
      <c r="J4" s="6" t="n">
        <f aca="false">E4/E$2</f>
        <v>0.93</v>
      </c>
      <c r="K4" s="6" t="n">
        <f aca="false">F4/F$2</f>
        <v>1</v>
      </c>
      <c r="L4" s="3"/>
      <c r="M4" s="7" t="b">
        <f aca="false">OR(H4&lt;0.5,I4&lt;0.5,J4&lt;0.5,K4&lt;0.5)</f>
        <v>0</v>
      </c>
    </row>
    <row r="5" customFormat="false" ht="15" hidden="false" customHeight="false" outlineLevel="0" collapsed="false">
      <c r="A5" s="3" t="s">
        <v>11</v>
      </c>
      <c r="B5" s="3" t="s">
        <v>12</v>
      </c>
      <c r="C5" s="3" t="n">
        <v>9</v>
      </c>
      <c r="D5" s="3" t="n">
        <v>20</v>
      </c>
      <c r="E5" s="3" t="n">
        <v>100</v>
      </c>
      <c r="F5" s="3" t="n">
        <v>1</v>
      </c>
      <c r="G5" s="3"/>
      <c r="H5" s="6" t="n">
        <f aca="false">C5/C$2</f>
        <v>0.9</v>
      </c>
      <c r="I5" s="6" t="n">
        <f aca="false">D5/D$2</f>
        <v>1</v>
      </c>
      <c r="J5" s="6" t="n">
        <f aca="false">E5/E$2</f>
        <v>1</v>
      </c>
      <c r="K5" s="6" t="n">
        <f aca="false">F5/F$2</f>
        <v>1</v>
      </c>
      <c r="L5" s="3"/>
      <c r="M5" s="7" t="b">
        <f aca="false">OR(H5&lt;0.5,I5&lt;0.5,J5&lt;0.5,K5&lt;0.5)</f>
        <v>0</v>
      </c>
    </row>
    <row r="6" customFormat="false" ht="15" hidden="false" customHeight="false" outlineLevel="0" collapsed="false">
      <c r="A6" s="3" t="s">
        <v>13</v>
      </c>
      <c r="B6" s="3" t="s">
        <v>14</v>
      </c>
      <c r="C6" s="3" t="n">
        <v>8</v>
      </c>
      <c r="D6" s="3" t="n">
        <v>17</v>
      </c>
      <c r="E6" s="3" t="n">
        <v>82</v>
      </c>
      <c r="F6" s="3" t="n">
        <v>1</v>
      </c>
      <c r="G6" s="3"/>
      <c r="H6" s="6" t="n">
        <f aca="false">C6/C$2</f>
        <v>0.8</v>
      </c>
      <c r="I6" s="6" t="n">
        <f aca="false">D6/D$2</f>
        <v>0.85</v>
      </c>
      <c r="J6" s="6" t="n">
        <f aca="false">E6/E$2</f>
        <v>0.82</v>
      </c>
      <c r="K6" s="6" t="n">
        <f aca="false">F6/F$2</f>
        <v>1</v>
      </c>
      <c r="L6" s="3"/>
      <c r="M6" s="7" t="b">
        <f aca="false">OR(H6&lt;0.5,I6&lt;0.5,J6&lt;0.5,K6&lt;0.5)</f>
        <v>0</v>
      </c>
    </row>
    <row r="7" customFormat="false" ht="15" hidden="false" customHeight="false" outlineLevel="0" collapsed="false">
      <c r="A7" s="3" t="s">
        <v>15</v>
      </c>
      <c r="B7" s="3" t="s">
        <v>16</v>
      </c>
      <c r="C7" s="3" t="n">
        <v>9</v>
      </c>
      <c r="D7" s="3" t="n">
        <v>10</v>
      </c>
      <c r="E7" s="3" t="n">
        <v>75</v>
      </c>
      <c r="F7" s="3" t="n">
        <v>1</v>
      </c>
      <c r="G7" s="3"/>
      <c r="H7" s="6" t="n">
        <f aca="false">C7/C$2</f>
        <v>0.9</v>
      </c>
      <c r="I7" s="6" t="n">
        <f aca="false">D7/D$2</f>
        <v>0.5</v>
      </c>
      <c r="J7" s="6" t="n">
        <f aca="false">E7/E$2</f>
        <v>0.75</v>
      </c>
      <c r="K7" s="6" t="n">
        <f aca="false">F7/F$2</f>
        <v>1</v>
      </c>
      <c r="L7" s="3"/>
      <c r="M7" s="7" t="b">
        <f aca="false">OR(H7&lt;0.5,I7&lt;0.5,J7&lt;0.5,K7&lt;0.5)</f>
        <v>0</v>
      </c>
    </row>
    <row r="8" customFormat="false" ht="15" hidden="false" customHeight="false" outlineLevel="0" collapsed="false">
      <c r="A8" s="3" t="s">
        <v>17</v>
      </c>
      <c r="B8" s="3" t="s">
        <v>18</v>
      </c>
      <c r="C8" s="3" t="n">
        <v>10</v>
      </c>
      <c r="D8" s="3" t="n">
        <v>20</v>
      </c>
      <c r="E8" s="3" t="n">
        <v>59</v>
      </c>
      <c r="F8" s="3" t="n">
        <v>1</v>
      </c>
      <c r="G8" s="3"/>
      <c r="H8" s="6" t="n">
        <f aca="false">C8/C$2</f>
        <v>1</v>
      </c>
      <c r="I8" s="6" t="n">
        <f aca="false">D8/D$2</f>
        <v>1</v>
      </c>
      <c r="J8" s="6" t="n">
        <f aca="false">E8/E$2</f>
        <v>0.59</v>
      </c>
      <c r="K8" s="6" t="n">
        <f aca="false">F8/F$2</f>
        <v>1</v>
      </c>
      <c r="L8" s="3"/>
      <c r="M8" s="7" t="b">
        <f aca="false">OR(H8&lt;0.5,I8&lt;0.5,J8&lt;0.5,K8&lt;0.5)</f>
        <v>0</v>
      </c>
    </row>
    <row r="9" customFormat="false" ht="15" hidden="false" customHeight="false" outlineLevel="0" collapsed="false">
      <c r="A9" s="3" t="s">
        <v>19</v>
      </c>
      <c r="B9" s="3" t="s">
        <v>20</v>
      </c>
      <c r="C9" s="3" t="n">
        <v>9</v>
      </c>
      <c r="D9" s="3" t="n">
        <v>17</v>
      </c>
      <c r="E9" s="3" t="n">
        <v>100</v>
      </c>
      <c r="F9" s="3" t="n">
        <v>1</v>
      </c>
      <c r="G9" s="3"/>
      <c r="H9" s="6" t="n">
        <f aca="false">C9/C$2</f>
        <v>0.9</v>
      </c>
      <c r="I9" s="6" t="n">
        <f aca="false">D9/D$2</f>
        <v>0.85</v>
      </c>
      <c r="J9" s="6" t="n">
        <f aca="false">E9/E$2</f>
        <v>1</v>
      </c>
      <c r="K9" s="6" t="n">
        <f aca="false">F9/F$2</f>
        <v>1</v>
      </c>
      <c r="L9" s="3"/>
      <c r="M9" s="7" t="b">
        <f aca="false">OR(H9&lt;0.5,I9&lt;0.5,J9&lt;0.5,K9&lt;0.5)</f>
        <v>0</v>
      </c>
    </row>
    <row r="10" customFormat="false" ht="15" hidden="false" customHeight="false" outlineLevel="0" collapsed="false">
      <c r="A10" s="3" t="s">
        <v>21</v>
      </c>
      <c r="B10" s="3" t="s">
        <v>22</v>
      </c>
      <c r="C10" s="3" t="n">
        <v>8</v>
      </c>
      <c r="D10" s="3" t="n">
        <v>20</v>
      </c>
      <c r="E10" s="3" t="n">
        <v>100</v>
      </c>
      <c r="F10" s="3" t="n">
        <v>0</v>
      </c>
      <c r="G10" s="3"/>
      <c r="H10" s="6" t="n">
        <f aca="false">C10/C$2</f>
        <v>0.8</v>
      </c>
      <c r="I10" s="6" t="n">
        <f aca="false">D10/D$2</f>
        <v>1</v>
      </c>
      <c r="J10" s="6" t="n">
        <f aca="false">E10/E$2</f>
        <v>1</v>
      </c>
      <c r="K10" s="6" t="n">
        <f aca="false">F10/F$2</f>
        <v>0</v>
      </c>
      <c r="L10" s="3"/>
      <c r="M10" s="7" t="b">
        <f aca="false">OR(H10&lt;0.5,I10&lt;0.5,J10&lt;0.5,K10&lt;0.5)</f>
        <v>1</v>
      </c>
    </row>
    <row r="11" customFormat="false" ht="15" hidden="false" customHeight="false" outlineLevel="0" collapsed="false">
      <c r="A11" s="3" t="s">
        <v>23</v>
      </c>
      <c r="B11" s="3" t="s">
        <v>24</v>
      </c>
      <c r="C11" s="3" t="n">
        <v>5</v>
      </c>
      <c r="D11" s="3" t="n">
        <v>6</v>
      </c>
      <c r="E11" s="3" t="n">
        <v>100</v>
      </c>
      <c r="F11" s="3" t="n">
        <v>1</v>
      </c>
      <c r="G11" s="3"/>
      <c r="H11" s="6" t="n">
        <f aca="false">C11/C$2</f>
        <v>0.5</v>
      </c>
      <c r="I11" s="6" t="n">
        <f aca="false">D11/D$2</f>
        <v>0.3</v>
      </c>
      <c r="J11" s="6" t="n">
        <f aca="false">E11/E$2</f>
        <v>1</v>
      </c>
      <c r="K11" s="6" t="n">
        <f aca="false">F11/F$2</f>
        <v>1</v>
      </c>
      <c r="L11" s="3"/>
      <c r="M11" s="7" t="b">
        <f aca="false">OR(H11&lt;0.5,I11&lt;0.5,J11&lt;0.5,K11&lt;0.5)</f>
        <v>1</v>
      </c>
    </row>
    <row r="12" customFormat="false" ht="15" hidden="false" customHeight="false" outlineLevel="0" collapsed="false">
      <c r="A12" s="3" t="s">
        <v>25</v>
      </c>
      <c r="B12" s="3" t="s">
        <v>26</v>
      </c>
      <c r="C12" s="3" t="n">
        <v>10</v>
      </c>
      <c r="D12" s="3" t="n">
        <v>20</v>
      </c>
      <c r="E12" s="3" t="n">
        <v>67</v>
      </c>
      <c r="F12" s="3" t="n">
        <v>1</v>
      </c>
      <c r="G12" s="3"/>
      <c r="H12" s="6" t="n">
        <f aca="false">C12/C$2</f>
        <v>1</v>
      </c>
      <c r="I12" s="6" t="n">
        <f aca="false">D12/D$2</f>
        <v>1</v>
      </c>
      <c r="J12" s="6" t="n">
        <f aca="false">E12/E$2</f>
        <v>0.67</v>
      </c>
      <c r="K12" s="6" t="n">
        <f aca="false">F12/F$2</f>
        <v>1</v>
      </c>
      <c r="L12" s="3"/>
      <c r="M12" s="7" t="b">
        <f aca="false">OR(H12&lt;0.5,I12&lt;0.5,J12&lt;0.5,K12&lt;0.5)</f>
        <v>0</v>
      </c>
    </row>
    <row r="13" customFormat="false" ht="15" hidden="false" customHeight="false" outlineLevel="0" collapsed="false">
      <c r="A13" s="3" t="s">
        <v>27</v>
      </c>
      <c r="B13" s="3" t="s">
        <v>28</v>
      </c>
      <c r="C13" s="3" t="n">
        <v>9</v>
      </c>
      <c r="D13" s="3" t="n">
        <v>20</v>
      </c>
      <c r="E13" s="3" t="n">
        <v>70</v>
      </c>
      <c r="F13" s="3" t="n">
        <v>1</v>
      </c>
      <c r="G13" s="3"/>
      <c r="H13" s="6" t="n">
        <f aca="false">C13/C$2</f>
        <v>0.9</v>
      </c>
      <c r="I13" s="6" t="n">
        <f aca="false">D13/D$2</f>
        <v>1</v>
      </c>
      <c r="J13" s="6" t="n">
        <f aca="false">E13/E$2</f>
        <v>0.7</v>
      </c>
      <c r="K13" s="6" t="n">
        <f aca="false">F13/F$2</f>
        <v>1</v>
      </c>
      <c r="L13" s="3"/>
      <c r="M13" s="7" t="b">
        <f aca="false">OR(H13&lt;0.5,I13&lt;0.5,J13&lt;0.5,K13&lt;0.5)</f>
        <v>0</v>
      </c>
    </row>
    <row r="14" customFormat="false" ht="15" hidden="false" customHeight="false" outlineLevel="0" collapsed="false">
      <c r="A14" s="3" t="s">
        <v>29</v>
      </c>
      <c r="B14" s="3" t="s">
        <v>30</v>
      </c>
      <c r="C14" s="3" t="n">
        <v>10</v>
      </c>
      <c r="D14" s="3" t="n">
        <v>19</v>
      </c>
      <c r="E14" s="3" t="n">
        <v>80</v>
      </c>
      <c r="F14" s="3" t="n">
        <v>1</v>
      </c>
      <c r="G14" s="3"/>
      <c r="H14" s="6" t="n">
        <f aca="false">C14/C$2</f>
        <v>1</v>
      </c>
      <c r="I14" s="6" t="n">
        <f aca="false">D14/D$2</f>
        <v>0.95</v>
      </c>
      <c r="J14" s="6" t="n">
        <f aca="false">E14/E$2</f>
        <v>0.8</v>
      </c>
      <c r="K14" s="6" t="n">
        <f aca="false">F14/F$2</f>
        <v>1</v>
      </c>
      <c r="L14" s="3"/>
      <c r="M14" s="7" t="b">
        <f aca="false">OR(H14&lt;0.5,I14&lt;0.5,J14&lt;0.5,K14&lt;0.5)</f>
        <v>0</v>
      </c>
    </row>
    <row r="15" customFormat="false" ht="15" hidden="false" customHeight="false" outlineLevel="0" collapsed="false">
      <c r="A15" s="3" t="s">
        <v>31</v>
      </c>
      <c r="B15" s="3" t="s">
        <v>32</v>
      </c>
      <c r="C15" s="3" t="n">
        <v>8</v>
      </c>
      <c r="D15" s="3" t="n">
        <v>17</v>
      </c>
      <c r="E15" s="3" t="n">
        <v>90</v>
      </c>
      <c r="F15" s="3" t="n">
        <v>1</v>
      </c>
      <c r="G15" s="3"/>
      <c r="H15" s="6" t="n">
        <f aca="false">C15/C$2</f>
        <v>0.8</v>
      </c>
      <c r="I15" s="6" t="n">
        <f aca="false">D15/D$2</f>
        <v>0.85</v>
      </c>
      <c r="J15" s="6" t="n">
        <f aca="false">E15/E$2</f>
        <v>0.9</v>
      </c>
      <c r="K15" s="6" t="n">
        <f aca="false">F15/F$2</f>
        <v>1</v>
      </c>
      <c r="L15" s="3"/>
      <c r="M15" s="7" t="b">
        <f aca="false">OR(H15&lt;0.5,I15&lt;0.5,J15&lt;0.5,K15&lt;0.5)</f>
        <v>0</v>
      </c>
    </row>
    <row r="16" customFormat="false" ht="15" hidden="false" customHeight="false" outlineLevel="0" collapsed="false">
      <c r="A16" s="3" t="s">
        <v>33</v>
      </c>
      <c r="B16" s="3" t="s">
        <v>34</v>
      </c>
      <c r="C16" s="3" t="n">
        <v>9</v>
      </c>
      <c r="D16" s="3" t="n">
        <v>19</v>
      </c>
      <c r="E16" s="3" t="n">
        <v>45</v>
      </c>
      <c r="F16" s="3" t="n">
        <v>0</v>
      </c>
      <c r="G16" s="3"/>
      <c r="H16" s="6" t="n">
        <f aca="false">C16/C$2</f>
        <v>0.9</v>
      </c>
      <c r="I16" s="6" t="n">
        <f aca="false">D16/D$2</f>
        <v>0.95</v>
      </c>
      <c r="J16" s="6" t="n">
        <f aca="false">E16/E$2</f>
        <v>0.45</v>
      </c>
      <c r="K16" s="6" t="n">
        <f aca="false">F16/F$2</f>
        <v>0</v>
      </c>
      <c r="L16" s="3"/>
      <c r="M16" s="7" t="b">
        <f aca="false">OR(H16&lt;0.5,I16&lt;0.5,J16&lt;0.5,K16&lt;0.5)</f>
        <v>1</v>
      </c>
    </row>
    <row r="17" customFormat="false" ht="15" hidden="false" customHeight="false" outlineLevel="0" collapsed="false">
      <c r="A17" s="3" t="s">
        <v>35</v>
      </c>
      <c r="B17" s="3" t="s">
        <v>36</v>
      </c>
      <c r="C17" s="3" t="n">
        <v>7</v>
      </c>
      <c r="D17" s="3" t="n">
        <v>20</v>
      </c>
      <c r="E17" s="3" t="n">
        <v>90</v>
      </c>
      <c r="F17" s="3" t="n">
        <v>1</v>
      </c>
      <c r="G17" s="3"/>
      <c r="H17" s="6" t="n">
        <f aca="false">C17/C$2</f>
        <v>0.7</v>
      </c>
      <c r="I17" s="6" t="n">
        <f aca="false">D17/D$2</f>
        <v>1</v>
      </c>
      <c r="J17" s="6" t="n">
        <f aca="false">E17/E$2</f>
        <v>0.9</v>
      </c>
      <c r="K17" s="6" t="n">
        <f aca="false">F17/F$2</f>
        <v>1</v>
      </c>
      <c r="L17" s="3"/>
      <c r="M17" s="7" t="b">
        <f aca="false">OR(H17&lt;0.5,I17&lt;0.5,J17&lt;0.5,K17&lt;0.5)</f>
        <v>0</v>
      </c>
    </row>
    <row r="18" customFormat="false" ht="15" hidden="false" customHeight="false" outlineLevel="0" collapsed="false">
      <c r="A18" s="3" t="s">
        <v>37</v>
      </c>
      <c r="B18" s="3" t="s">
        <v>38</v>
      </c>
      <c r="C18" s="3" t="n">
        <v>10</v>
      </c>
      <c r="D18" s="3" t="n">
        <v>10</v>
      </c>
      <c r="E18" s="3" t="n">
        <v>80</v>
      </c>
      <c r="F18" s="3" t="n">
        <v>1</v>
      </c>
      <c r="G18" s="3"/>
      <c r="H18" s="6" t="n">
        <f aca="false">C18/C$2</f>
        <v>1</v>
      </c>
      <c r="I18" s="6" t="n">
        <f aca="false">D18/D$2</f>
        <v>0.5</v>
      </c>
      <c r="J18" s="6" t="n">
        <f aca="false">E18/E$2</f>
        <v>0.8</v>
      </c>
      <c r="K18" s="6" t="n">
        <f aca="false">F18/F$2</f>
        <v>1</v>
      </c>
      <c r="L18" s="3"/>
      <c r="M18" s="7" t="b">
        <f aca="false">OR(H18&lt;0.5,I18&lt;0.5,J18&lt;0.5,K18&lt;0.5)</f>
        <v>0</v>
      </c>
    </row>
    <row r="19" customFormat="false" ht="15" hidden="false" customHeight="false" outlineLevel="0" collapsed="false">
      <c r="A19" s="3" t="s">
        <v>39</v>
      </c>
      <c r="B19" s="3" t="s">
        <v>40</v>
      </c>
      <c r="C19" s="3" t="n">
        <v>11</v>
      </c>
      <c r="D19" s="3" t="n">
        <v>20</v>
      </c>
      <c r="E19" s="3" t="n">
        <v>69</v>
      </c>
      <c r="F19" s="3" t="n">
        <v>1</v>
      </c>
      <c r="G19" s="3"/>
      <c r="H19" s="6" t="n">
        <f aca="false">C19/C$2</f>
        <v>1.1</v>
      </c>
      <c r="I19" s="6" t="n">
        <f aca="false">D19/D$2</f>
        <v>1</v>
      </c>
      <c r="J19" s="6" t="n">
        <f aca="false">E19/E$2</f>
        <v>0.69</v>
      </c>
      <c r="K19" s="6" t="n">
        <f aca="false">F19/F$2</f>
        <v>1</v>
      </c>
      <c r="L19" s="3"/>
      <c r="M19" s="7" t="b">
        <f aca="false">OR(H19&lt;0.5,I19&lt;0.5,J19&lt;0.5,K19&lt;0.5)</f>
        <v>0</v>
      </c>
    </row>
    <row r="20" customFormat="false" ht="15" hidden="false" customHeight="false" outlineLevel="0" collapsed="false">
      <c r="A20" s="3" t="s">
        <v>41</v>
      </c>
      <c r="B20" s="3" t="s">
        <v>42</v>
      </c>
      <c r="C20" s="3" t="n">
        <v>10</v>
      </c>
      <c r="D20" s="3" t="n">
        <v>14</v>
      </c>
      <c r="E20" s="3" t="n">
        <v>90</v>
      </c>
      <c r="F20" s="3" t="n">
        <v>1</v>
      </c>
      <c r="G20" s="3"/>
      <c r="H20" s="6" t="n">
        <f aca="false">C20/C$2</f>
        <v>1</v>
      </c>
      <c r="I20" s="6" t="n">
        <f aca="false">D20/D$2</f>
        <v>0.7</v>
      </c>
      <c r="J20" s="6" t="n">
        <f aca="false">E20/E$2</f>
        <v>0.9</v>
      </c>
      <c r="K20" s="6" t="n">
        <f aca="false">F20/F$2</f>
        <v>1</v>
      </c>
      <c r="L20" s="3"/>
      <c r="M20" s="7" t="b">
        <f aca="false">OR(H20&lt;0.5,I20&lt;0.5,J20&lt;0.5,K20&lt;0.5)</f>
        <v>0</v>
      </c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customFormat="false" ht="15" hidden="false" customHeight="false" outlineLevel="0" collapsed="false">
      <c r="A22" s="4" t="s">
        <v>43</v>
      </c>
      <c r="B22" s="3"/>
      <c r="C22" s="8" t="n">
        <f aca="false">MAX(C4:C20)</f>
        <v>11</v>
      </c>
      <c r="D22" s="8" t="n">
        <f aca="false">MAX(D4:D20)</f>
        <v>20</v>
      </c>
      <c r="E22" s="8" t="n">
        <f aca="false">MAX(E4:E20)</f>
        <v>100</v>
      </c>
      <c r="F22" s="8" t="n">
        <f aca="false">MAX(F4:F20)</f>
        <v>1</v>
      </c>
      <c r="G22" s="3"/>
      <c r="H22" s="6" t="n">
        <f aca="false">MAX(H4:H20)</f>
        <v>1.1</v>
      </c>
      <c r="I22" s="6" t="n">
        <f aca="false">MAX(I4:I20)</f>
        <v>1</v>
      </c>
      <c r="J22" s="6" t="n">
        <f aca="false">MAX(J4:J20)</f>
        <v>1</v>
      </c>
      <c r="K22" s="6" t="n">
        <f aca="false">MAX(K4:K20)</f>
        <v>1</v>
      </c>
      <c r="L22" s="3"/>
      <c r="M22" s="3"/>
    </row>
    <row r="23" customFormat="false" ht="15" hidden="false" customHeight="false" outlineLevel="0" collapsed="false">
      <c r="A23" s="4" t="s">
        <v>44</v>
      </c>
      <c r="B23" s="3"/>
      <c r="C23" s="8" t="n">
        <f aca="false">MIN(C4:C20)</f>
        <v>5</v>
      </c>
      <c r="D23" s="8" t="n">
        <f aca="false">MIN(D4:D20)</f>
        <v>6</v>
      </c>
      <c r="E23" s="8" t="n">
        <f aca="false">MIN(E4:E20)</f>
        <v>45</v>
      </c>
      <c r="F23" s="8" t="n">
        <f aca="false">MIN(F4:F20)</f>
        <v>0</v>
      </c>
      <c r="G23" s="3"/>
      <c r="H23" s="6" t="n">
        <f aca="false">MIN(H4:H20)</f>
        <v>0.5</v>
      </c>
      <c r="I23" s="6" t="n">
        <f aca="false">MIN(I4:I20)</f>
        <v>0.3</v>
      </c>
      <c r="J23" s="6" t="n">
        <f aca="false">MIN(J4:J20)</f>
        <v>0.45</v>
      </c>
      <c r="K23" s="6" t="n">
        <f aca="false">MIN(K4:K20)</f>
        <v>0</v>
      </c>
      <c r="L23" s="3"/>
      <c r="M23" s="3"/>
    </row>
    <row r="24" customFormat="false" ht="15" hidden="false" customHeight="false" outlineLevel="0" collapsed="false">
      <c r="A24" s="4" t="s">
        <v>45</v>
      </c>
      <c r="B24" s="3"/>
      <c r="C24" s="9" t="n">
        <f aca="false">AVERAGE(C4:C20)</f>
        <v>8.94117647058824</v>
      </c>
      <c r="D24" s="9" t="n">
        <f aca="false">AVERAGE(D4:D20)</f>
        <v>16.9411764705882</v>
      </c>
      <c r="E24" s="9" t="n">
        <f aca="false">AVERAGE(E4:E20)</f>
        <v>81.7647058823529</v>
      </c>
      <c r="F24" s="9" t="n">
        <f aca="false">AVERAGE(F4:F20)</f>
        <v>0.882352941176471</v>
      </c>
      <c r="G24" s="3"/>
      <c r="H24" s="6" t="n">
        <f aca="false">AVERAGE(H4:H20)</f>
        <v>0.894117647058824</v>
      </c>
      <c r="I24" s="6" t="n">
        <f aca="false">AVERAGE(I4:I20)</f>
        <v>0.847058823529412</v>
      </c>
      <c r="J24" s="6" t="n">
        <f aca="false">AVERAGE(J4:J20)</f>
        <v>0.817647058823529</v>
      </c>
      <c r="K24" s="6" t="n">
        <f aca="false">AVERAGE(K4:K20)</f>
        <v>0.882352941176471</v>
      </c>
      <c r="L24" s="3"/>
      <c r="M24" s="3"/>
    </row>
    <row r="26" customFormat="false" ht="15" hidden="false" customHeight="false" outlineLevel="0" collapsed="false">
      <c r="A26" s="10" t="s">
        <v>46</v>
      </c>
    </row>
  </sheetData>
  <conditionalFormatting sqref="C4:C20">
    <cfRule type="iconSet" priority="2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">
    <cfRule type="cellIs" priority="6" operator="lessThan" aboveAverage="0" equalAverage="0" bottom="0" percent="0" rank="0" text="" dxfId="0">
      <formula>0.5</formula>
    </cfRule>
  </conditionalFormatting>
  <conditionalFormatting sqref="M4:M20">
    <cfRule type="cellIs" priority="7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2026-10-16T00:43:45Z</dcterms:created>
  <dc:creator>openpyxl</dc:creator>
  <dc:description/>
  <dc:language>en-US</dc:language>
  <cp:lastModifiedBy/>
  <dcterms:modified xsi:type="dcterms:W3CDTF">2026-10-16T05:43:48Z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